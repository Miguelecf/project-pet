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305193a92343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4d1bef2244dc45f0"/>
    <x:sheet xmlns:r="http://schemas.openxmlformats.org/officeDocument/2006/relationships" name="Ventas categorizadas" sheetId="2" r:id="Rbce41504501f412d"/>
    <x:sheet xmlns:r="http://schemas.openxmlformats.org/officeDocument/2006/relationships" name="Criterios y revisión" sheetId="3" r:id="Rc5205682568c4b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#,##0"/>
    <x:numFmt numFmtId="202" formatCode="0.0%"/>
    <x:numFmt numFmtId="203" formatCode="0"/>
    <x:numFmt numFmtId="204" formatCode="#,##0.##"/>
  </x:numFmts>
  <x:fonts count="21">
    <x:font>
      <x:sz val="11"/>
      <x:name val="Carlito"/>
    </x:font>
    <x:font>
      <x:sz val="11"/>
      <x:color rgb="FFFFFFFF"/>
      <x:name val="Carlito"/>
    </x:font>
    <x:font>
      <x:b/>
      <x:sz val="18"/>
      <x:color rgb="FFFFFFFF"/>
      <x:name val="Carlito"/>
    </x:font>
    <x:font>
      <x:i/>
      <x:sz val="10"/>
      <x:color rgb="FFDDF4EA"/>
      <x:name val="Carlito"/>
    </x:font>
    <x:font>
      <x:b/>
      <x:sz val="10"/>
      <x:color rgb="FF215C4A"/>
      <x:name val="Carlito"/>
    </x:font>
    <x:font>
      <x:b/>
      <x:sz val="16"/>
      <x:color rgb="FF173B30"/>
      <x:name val="Carlito"/>
    </x:font>
    <x:font>
      <x:b/>
      <x:sz val="11"/>
      <x:color rgb="FFFFFFFF"/>
      <x:name val="Carlito"/>
    </x:font>
    <x:font>
      <x:b/>
      <x:sz val="11"/>
      <x:color rgb="FF173B30"/>
      <x:name val="Carlito"/>
    </x:font>
    <x:font>
      <x:i/>
      <x:sz val="9"/>
      <x:color rgb="FF7A4B00"/>
      <x:name val="Carlito"/>
    </x:font>
    <x:font>
      <x:b/>
      <x:sz val="18"/>
      <x:color rgb="FFFFFFFF"/>
      <x:name val="Aptos"/>
    </x:font>
    <x:font>
      <x:sz val="11"/>
      <x:color rgb="FFFFFFFF"/>
      <x:name val="Aptos"/>
    </x:font>
    <x:font>
      <x:sz val="11"/>
      <x:name val="Aptos"/>
    </x:font>
    <x:font>
      <x:i/>
      <x:sz val="10"/>
      <x:color rgb="FFDDF4EA"/>
      <x:name val="Aptos"/>
    </x:font>
    <x:font>
      <x:b/>
      <x:sz val="10"/>
      <x:color rgb="FF215C4A"/>
      <x:name val="Aptos"/>
    </x:font>
    <x:font>
      <x:b/>
      <x:sz val="16"/>
      <x:color rgb="FF173B30"/>
      <x:name val="Aptos"/>
    </x:font>
    <x:font>
      <x:b/>
      <x:sz val="11"/>
      <x:color rgb="FFFFFFFF"/>
      <x:name val="Aptos"/>
    </x:font>
    <x:font>
      <x:b/>
      <x:sz val="11"/>
      <x:color rgb="FF173B30"/>
      <x:name val="Aptos"/>
    </x:font>
    <x:font>
      <x:i/>
      <x:sz val="9"/>
      <x:color rgb="FF7A4B00"/>
      <x:name val="Aptos"/>
    </x:font>
    <x:font>
      <x:b/>
      <x:sz val="16"/>
      <x:color rgb="FFFFFFFF"/>
      <x:name val="Carlito"/>
    </x:font>
    <x:font>
      <x:b/>
      <x:sz val="11"/>
      <x:color rgb="FF7A4B00"/>
      <x:name val="Carlito"/>
    </x:font>
    <x:font>
      <x:b/>
      <x:sz val="16"/>
      <x:color rgb="FFFFFFF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215C4A"/>
      </x:patternFill>
    </x:fill>
    <x:fill>
      <x:patternFill patternType="solid">
        <x:fgColor rgb="FFEEF7F3"/>
      </x:patternFill>
    </x:fill>
    <x:fill>
      <x:patternFill patternType="solid">
        <x:fgColor rgb="FFDDF0E8"/>
      </x:patternFill>
    </x:fill>
    <x:fill>
      <x:patternFill patternType="solid">
        <x:fgColor rgb="FFFFF7E6"/>
      </x:patternFill>
    </x:fill>
    <x:fill>
      <x:patternFill patternType="solid">
        <x:fgColor rgb="FFFFF0D6"/>
      </x:patternFill>
    </x:fill>
    <x:fill>
      <x:patternFill patternType="solid">
        <x:fgColor rgb="FF806000"/>
      </x:patternFill>
    </x:fill>
  </x:fills>
  <x:borders count="16">
    <x:border/>
    <x:border>
      <x:left style="thin">
        <x:color rgb="FFA8C8BC"/>
      </x:left>
      <x:top style="thin">
        <x:color rgb="FFA8C8BC"/>
      </x:top>
    </x:border>
    <x:border>
      <x:right style="thin">
        <x:color rgb="FFA8C8BC"/>
      </x:right>
      <x:top style="thin">
        <x:color rgb="FFA8C8BC"/>
      </x:top>
    </x:border>
    <x:border>
      <x:left style="thin">
        <x:color rgb="FFA8C8BC"/>
      </x:left>
      <x:bottom style="thin">
        <x:color rgb="FFA8C8BC"/>
      </x:bottom>
    </x:border>
    <x:border>
      <x:right style="thin">
        <x:color rgb="FFA8C8BC"/>
      </x:right>
      <x:bottom style="thin">
        <x:color rgb="FFA8C8BC"/>
      </x:bottom>
    </x:border>
    <x:border>
      <x:right style="thin">
        <x:color rgb="FFD9E7E1"/>
      </x:right>
      <x:bottom style="thin">
        <x:color rgb="FFD9E7E1"/>
      </x:bottom>
    </x:border>
    <x:border>
      <x:left style="thin">
        <x:color rgb="FFD9E7E1"/>
      </x:left>
      <x:right style="thin">
        <x:color rgb="FFD9E7E1"/>
      </x:right>
      <x:bottom style="thin">
        <x:color rgb="FFD9E7E1"/>
      </x:bottom>
    </x:border>
    <x:border>
      <x:left style="thin">
        <x:color rgb="FFD9E7E1"/>
      </x:left>
      <x:bottom style="thin">
        <x:color rgb="FFD9E7E1"/>
      </x:bottom>
    </x:border>
    <x:border>
      <x:right style="thin">
        <x:color rgb="FFD9E7E1"/>
      </x:right>
      <x:top style="thin">
        <x:color rgb="FFD9E7E1"/>
      </x:top>
      <x:bottom style="thin">
        <x:color rgb="FFD9E7E1"/>
      </x:bottom>
    </x:border>
    <x:border>
      <x:left style="thin">
        <x:color rgb="FFD9E7E1"/>
      </x:left>
      <x:right style="thin">
        <x:color rgb="FFD9E7E1"/>
      </x:right>
      <x:top style="thin">
        <x:color rgb="FFD9E7E1"/>
      </x:top>
      <x:bottom style="thin">
        <x:color rgb="FFD9E7E1"/>
      </x:bottom>
    </x:border>
    <x:border>
      <x:left style="thin">
        <x:color rgb="FFD9E7E1"/>
      </x:left>
      <x:top style="thin">
        <x:color rgb="FFD9E7E1"/>
      </x:top>
      <x:bottom style="thin">
        <x:color rgb="FFD9E7E1"/>
      </x:bottom>
    </x:border>
    <x:border>
      <x:right style="thin">
        <x:color rgb="FFD9E7E1"/>
      </x:right>
      <x:top style="thin">
        <x:color rgb="FFD9E7E1"/>
      </x:top>
    </x:border>
    <x:border>
      <x:left style="thin">
        <x:color rgb="FFD9E7E1"/>
      </x:left>
      <x:right style="thin">
        <x:color rgb="FFD9E7E1"/>
      </x:right>
      <x:top style="thin">
        <x:color rgb="FFD9E7E1"/>
      </x:top>
    </x:border>
    <x:border>
      <x:left style="thin">
        <x:color rgb="FFD9E7E1"/>
      </x:left>
      <x:top style="thin">
        <x:color rgb="FFD9E7E1"/>
      </x:top>
    </x:border>
    <x:border>
      <x:right style="thin">
        <x:color rgb="FFD9E7E1"/>
      </x:right>
      <x:top style="thin">
        <x:color rgb="FFD9E7E1"/>
      </x:top>
      <x:bottom style="double">
        <x:color rgb="FF215C4A"/>
      </x:bottom>
    </x:border>
    <x:border>
      <x:left style="thin">
        <x:color rgb="FFD9E7E1"/>
      </x:left>
      <x:right style="thin">
        <x:color rgb="FFD9E7E1"/>
      </x:right>
      <x:top style="thin">
        <x:color rgb="FFD9E7E1"/>
      </x:top>
      <x:bottom style="double">
        <x:color rgb="FF215C4A"/>
      </x:bottom>
    </x:border>
  </x:borders>
  <x:cellStyleXfs count="1">
    <x:xf numFmtId="0" fontId="0" fillId="0" borderId="0"/>
  </x:cellStyleXfs>
  <x:cellXfs count="10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200" fontId="5" fillId="3" borderId="3" xfId="0" applyNumberFormat="1" applyFont="1" applyFill="1" applyBorder="1"/>
    <x:xf numFmtId="201" fontId="5" fillId="3" borderId="3" xfId="0" applyNumberFormat="1" applyFont="1" applyFill="1" applyBorder="1"/>
    <x:xf numFmtId="201" fontId="5" fillId="3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2" borderId="5" xfId="0" applyNumberFormat="1" applyFont="1" applyFill="1" applyBorder="1"/>
    <x:xf numFmtId="0" fontId="0" fillId="2" borderId="6" xfId="0" applyNumberFormat="1" applyFont="1" applyFill="1" applyBorder="1"/>
    <x:xf numFmtId="0" fontId="0" fillId="2" borderId="7" xfId="0" applyNumberFormat="1" applyFont="1" applyFill="1" applyBorder="1"/>
    <x:xf numFmtId="0" fontId="6" fillId="2" borderId="5" xfId="0" applyNumberFormat="1" applyFont="1" applyFill="1" applyBorder="1"/>
    <x:xf numFmtId="0" fontId="6" fillId="2" borderId="6" xfId="0" applyNumberFormat="1" applyFont="1" applyFill="1" applyBorder="1"/>
    <x:xf numFmtId="0" fontId="6" fillId="2" borderId="7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13" xfId="0" applyNumberFormat="1" applyFont="1" applyFill="1" applyBorder="1"/>
    <x:xf numFmtId="0" fontId="7" fillId="4" borderId="11" xfId="0" applyNumberFormat="1" applyFont="1" applyFill="1" applyBorder="1"/>
    <x:xf numFmtId="0" fontId="7" fillId="4" borderId="12" xfId="0" applyNumberFormat="1" applyFont="1" applyFill="1" applyBorder="1"/>
    <x:xf numFmtId="0" fontId="7" fillId="4" borderId="13" xfId="0" applyNumberFormat="1" applyFont="1" applyFill="1" applyBorder="1"/>
    <x:xf numFmtId="0" fontId="7" fillId="4" borderId="14" xfId="0" applyNumberFormat="1" applyFont="1" applyFill="1" applyBorder="1"/>
    <x:xf numFmtId="0" fontId="7" fillId="4" borderId="15" xfId="0" applyNumberFormat="1" applyFont="1" applyFill="1" applyBorder="1"/>
    <x:xf numFmtId="201" fontId="0" fillId="0" borderId="9" xfId="0" applyNumberFormat="1" applyFont="1" applyFill="1" applyBorder="1"/>
    <x:xf numFmtId="201" fontId="7" fillId="4" borderId="15" xfId="0" applyNumberFormat="1" applyFont="1" applyFill="1" applyBorder="1"/>
    <x:xf numFmtId="200" fontId="0" fillId="0" borderId="9" xfId="0" applyNumberFormat="1" applyFont="1" applyFill="1" applyBorder="1"/>
    <x:xf numFmtId="200" fontId="7" fillId="4" borderId="15" xfId="0" applyNumberFormat="1" applyFont="1" applyFill="1" applyBorder="1"/>
    <x:xf numFmtId="202" fontId="0" fillId="0" borderId="9" xfId="0" applyNumberFormat="1" applyFont="1" applyFill="1" applyBorder="1"/>
    <x:xf numFmtId="202" fontId="7" fillId="4" borderId="15" xfId="0" applyNumberFormat="1" applyFont="1" applyFill="1" applyBorder="1"/>
    <x:xf numFmtId="201" fontId="0" fillId="0" borderId="10" xfId="0" applyNumberFormat="1" applyFont="1" applyFill="1" applyBorder="1"/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/>
    <x:xf numFmtId="0" fontId="10" fillId="2" borderId="0" xfId="0" applyNumberFormat="1" applyFont="1" applyFill="1" applyBorder="1"/>
    <x:xf numFmtId="0" fontId="11" fillId="0" borderId="0" xfId="0" applyNumberFormat="1" applyFont="1" applyFill="1" applyBorder="1"/>
    <x:xf numFmtId="0" fontId="12" fillId="2" borderId="0" xfId="0" applyNumberFormat="1" applyFont="1" applyFill="1" applyBorder="1"/>
    <x:xf numFmtId="0" fontId="13" fillId="3" borderId="1" xfId="0" applyNumberFormat="1" applyFont="1" applyFill="1" applyBorder="1"/>
    <x:xf numFmtId="0" fontId="13" fillId="3" borderId="2" xfId="0" applyNumberFormat="1" applyFont="1" applyFill="1" applyBorder="1"/>
    <x:xf numFmtId="200" fontId="14" fillId="3" borderId="3" xfId="0" applyNumberFormat="1" applyFont="1" applyFill="1" applyBorder="1"/>
    <x:xf numFmtId="0" fontId="14" fillId="3" borderId="4" xfId="0" applyNumberFormat="1" applyFont="1" applyFill="1" applyBorder="1"/>
    <x:xf numFmtId="201" fontId="14" fillId="3" borderId="3" xfId="0" applyNumberFormat="1" applyFont="1" applyFill="1" applyBorder="1"/>
    <x:xf numFmtId="201" fontId="14" fillId="3" borderId="4" xfId="0" applyNumberFormat="1" applyFont="1" applyFill="1" applyBorder="1"/>
    <x:xf numFmtId="0" fontId="11" fillId="3" borderId="4" xfId="0" applyNumberFormat="1" applyFont="1" applyFill="1" applyBorder="1"/>
    <x:xf numFmtId="0" fontId="15" fillId="2" borderId="5" xfId="0" applyNumberFormat="1" applyFont="1" applyFill="1" applyBorder="1"/>
    <x:xf numFmtId="0" fontId="15" fillId="2" borderId="6" xfId="0" applyNumberFormat="1" applyFont="1" applyFill="1" applyBorder="1"/>
    <x:xf numFmtId="0" fontId="15" fillId="2" borderId="7" xfId="0" applyNumberFormat="1" applyFont="1" applyFill="1" applyBorder="1"/>
    <x:xf numFmtId="0" fontId="11" fillId="0" borderId="8" xfId="0" applyNumberFormat="1" applyFont="1" applyFill="1" applyBorder="1"/>
    <x:xf numFmtId="201" fontId="11" fillId="0" borderId="9" xfId="0" applyNumberFormat="1" applyFont="1" applyFill="1" applyBorder="1"/>
    <x:xf numFmtId="200" fontId="11" fillId="0" borderId="9" xfId="0" applyNumberFormat="1" applyFont="1" applyFill="1" applyBorder="1"/>
    <x:xf numFmtId="202" fontId="11" fillId="0" borderId="9" xfId="0" applyNumberFormat="1" applyFont="1" applyFill="1" applyBorder="1"/>
    <x:xf numFmtId="201" fontId="11" fillId="0" borderId="10" xfId="0" applyNumberFormat="1" applyFont="1" applyFill="1" applyBorder="1"/>
    <x:xf numFmtId="0" fontId="16" fillId="4" borderId="14" xfId="0" applyNumberFormat="1" applyFont="1" applyFill="1" applyBorder="1"/>
    <x:xf numFmtId="201" fontId="16" fillId="4" borderId="15" xfId="0" applyNumberFormat="1" applyFont="1" applyFill="1" applyBorder="1"/>
    <x:xf numFmtId="200" fontId="16" fillId="4" borderId="15" xfId="0" applyNumberFormat="1" applyFont="1" applyFill="1" applyBorder="1"/>
    <x:xf numFmtId="202" fontId="16" fillId="4" borderId="15" xfId="0" applyNumberFormat="1" applyFont="1" applyFill="1" applyBorder="1"/>
    <x:xf numFmtId="0" fontId="17" fillId="5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15" fillId="2" borderId="0" xfId="0" applyNumberFormat="1" applyFont="1" applyFill="1" applyBorder="1" applyAlignment="1">
      <x:alignment wrapText="1"/>
    </x:xf>
    <x:xf numFmtId="203" fontId="11" fillId="0" borderId="0" xfId="0" applyNumberFormat="1" applyFont="1" applyFill="1" applyBorder="1"/>
    <x:xf numFmtId="204" fontId="11" fillId="0" borderId="0" xfId="0" applyNumberFormat="1" applyFont="1" applyFill="1" applyBorder="1"/>
    <x:xf numFmtId="20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8" fillId="2" borderId="0" xfId="0" applyNumberFormat="1" applyFont="1" applyFill="1" applyBorder="1"/>
    <x:xf numFmtId="203" fontId="0" fillId="0" borderId="9" xfId="0" applyNumberFormat="1" applyFont="1" applyFill="1" applyBorder="1"/>
    <x:xf numFmtId="203" fontId="0" fillId="0" borderId="12" xfId="0" applyNumberFormat="1" applyFont="1" applyFill="1" applyBorder="1"/>
    <x:xf numFmtId="0" fontId="0" fillId="6" borderId="0" xfId="0" applyNumberFormat="1" applyFont="1" applyFill="1" applyBorder="1"/>
    <x:xf numFmtId="0" fontId="19" fillId="6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20" fillId="2" borderId="0" xfId="0" applyNumberFormat="1" applyFont="1" applyFill="1" applyBorder="1"/>
    <x:xf numFmtId="0" fontId="20" fillId="2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6" fillId="2" borderId="5" xfId="0" applyNumberFormat="1" applyFont="1" applyFill="1" applyBorder="1" applyAlignment="1">
      <x:alignment wrapText="1"/>
    </x:xf>
    <x:xf numFmtId="0" fontId="6" fillId="2" borderId="6" xfId="0" applyNumberFormat="1" applyFont="1" applyFill="1" applyBorder="1" applyAlignment="1">
      <x:alignment wrapText="1"/>
    </x:xf>
    <x:xf numFmtId="0" fontId="6" fillId="2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203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19" fillId="6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A61B1B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e338407ff44aca" /><Relationship Type="http://schemas.openxmlformats.org/officeDocument/2006/relationships/theme" Target="/xl/theme/theme1.xml" Id="R8ceac2daea3a41b5" /><Relationship Type="http://schemas.openxmlformats.org/officeDocument/2006/relationships/sharedStrings" Target="/xl/sharedStrings.xml" Id="Rc4459f11b96f4c76" /><Relationship Type="http://schemas.openxmlformats.org/officeDocument/2006/relationships/worksheet" Target="/xl/worksheets/sheet1.xml" Id="R4d1bef2244dc45f0" /><Relationship Type="http://schemas.openxmlformats.org/officeDocument/2006/relationships/worksheet" Target="/xl/worksheets/sheet2.xml" Id="Rbce41504501f412d" /><Relationship Type="http://schemas.openxmlformats.org/officeDocument/2006/relationships/worksheet" Target="/xl/worksheets/sheet3.xml" Id="Rc5205682568c4b2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91f08773742421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Venta total por categoría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Venta total</c:v>
          </c:tx>
          <c:spPr>
            <a:solidFill xmlns:a="http://schemas.openxmlformats.org/drawingml/2006/main">
              <a:srgbClr val="2F7D67"/>
            </a:solidFill>
          </c:spPr>
          <c:cat>
            <c:strRef>
              <c:f>'Resumen'!$A$8:$A$13</c:f>
              <c:strCache>
                <c:ptCount val="0"/>
              </c:strCache>
            </c:strRef>
          </c:cat>
          <c:val>
            <c:numRef>
              <c:f>'Resumen'!$D$8:$D$13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6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1f08773742421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entasCategorizadasTable" displayName="VentasCategorizadasTable" ref="A1:N331" headerRowCount="1" totalsRowCount="0" totalsRowShown="0">
  <x:autoFilter ref="A1:N331"/>
  <x:tableColumns count="14">
    <x:tableColumn id="1" name="Orden categoría"/>
    <x:tableColumn id="2" name="Código"/>
    <x:tableColumn id="3" name="Producto"/>
    <x:tableColumn id="4" name="Categoría principal"/>
    <x:tableColumn id="5" name="Subcategoría"/>
    <x:tableColumn id="6" name="Naturaleza"/>
    <x:tableColumn id="7" name="Revisión manual"/>
    <x:tableColumn id="8" name="Observación"/>
    <x:tableColumn id="9" name="Cantidad"/>
    <x:tableColumn id="10" name="UM"/>
    <x:tableColumn id="11" name="Base imponible"/>
    <x:tableColumn id="12" name="Impuesto"/>
    <x:tableColumn id="13" name="Total"/>
    <x:tableColumn id="14" name="Fila orige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0739dbf0bc146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05e6a591884f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6" customHeight="1">
      <x:c r="A1" s="50" t="str">
        <x:v>Análisis de ventas Alfapp por categorías</x:v>
      </x:c>
      <x:c r="B1" s="51"/>
      <x:c r="C1" s="51"/>
      <x:c r="D1" s="51"/>
      <x:c r="E1" s="51"/>
      <x:c r="F1" s="51"/>
      <x:c r="G1" s="52"/>
      <x:c r="H1" s="52"/>
      <x:c r="I1" s="52"/>
      <x:c r="J1" s="52"/>
      <x:c r="K1" s="52"/>
      <x:c r="L1" s="52"/>
      <x:c r="M1" s="52"/>
      <x:c r="N1" s="52"/>
      <x:c r="O1" s="52"/>
      <x:c r="P1" s="52"/>
    </x:row>
    <x:row r="2" ht="26" customHeight="1">
      <x:c r="A2" s="53" t="str">
        <x:v>Clasificación inicial para el diseño de un gestor autogestionable</x:v>
      </x:c>
      <x:c r="B2" s="51"/>
      <x:c r="C2" s="51"/>
      <x:c r="D2" s="51"/>
      <x:c r="E2" s="51"/>
      <x:c r="F2" s="51"/>
      <x:c r="G2" s="52"/>
      <x:c r="H2" s="52"/>
      <x:c r="I2" s="52"/>
      <x:c r="J2" s="52"/>
      <x:c r="K2" s="52"/>
      <x:c r="L2" s="52"/>
      <x:c r="M2" s="52"/>
      <x:c r="N2" s="52"/>
      <x:c r="O2" s="52"/>
      <x:c r="P2" s="52"/>
    </x:row>
    <x:row r="3">
      <x:c r="A3" s="52"/>
      <x:c r="B3" s="52"/>
      <x:c r="C3" s="52"/>
      <x:c r="D3" s="52"/>
      <x:c r="E3" s="52"/>
      <x:c r="F3" s="52"/>
      <x:c r="G3" s="52"/>
      <x:c r="H3" s="52"/>
      <x:c r="I3" s="52"/>
      <x:c r="J3" s="52"/>
      <x:c r="K3" s="52"/>
      <x:c r="L3" s="52"/>
      <x:c r="M3" s="52"/>
      <x:c r="N3" s="52"/>
      <x:c r="O3" s="52"/>
      <x:c r="P3" s="52"/>
    </x:row>
    <x:row r="4">
      <x:c r="A4" s="54" t="str">
        <x:v>Venta total</x:v>
      </x:c>
      <x:c r="B4" s="55"/>
      <x:c r="C4" s="54" t="str">
        <x:v>Registros</x:v>
      </x:c>
      <x:c r="D4" s="55"/>
      <x:c r="E4" s="54" t="str">
        <x:v>Categorías usadas</x:v>
      </x:c>
      <x:c r="F4" s="55"/>
      <x:c r="G4" s="54" t="str">
        <x:v>A revisar</x:v>
      </x:c>
      <x:c r="H4" s="55"/>
      <x:c r="I4" s="52"/>
      <x:c r="J4" s="52"/>
      <x:c r="K4" s="52"/>
      <x:c r="L4" s="52"/>
      <x:c r="M4" s="52"/>
      <x:c r="N4" s="52"/>
      <x:c r="O4" s="52"/>
      <x:c r="P4" s="52"/>
    </x:row>
    <x:row r="5">
      <x:c r="A5" s="56" t="n">
        <x:f>SUM('Ventas categorizadas'!$M$2:$M$331)</x:f>
        <x:v>13300677.18</x:v>
      </x:c>
      <x:c r="B5" s="57"/>
      <x:c r="C5" s="58" t="n">
        <x:f>COUNTA('Ventas categorizadas'!$C$2:$C$331)</x:f>
        <x:v>330</x:v>
      </x:c>
      <x:c r="D5" s="59"/>
      <x:c r="E5" s="58" t="n">
        <x:v>6</x:v>
      </x:c>
      <x:c r="F5" s="59"/>
      <x:c r="G5" s="58" t="n">
        <x:f>COUNTIF('Ventas categorizadas'!$G$2:$G$331,"Sí")</x:f>
        <x:v>6</x:v>
      </x:c>
      <x:c r="H5" s="60"/>
      <x:c r="I5" s="52"/>
      <x:c r="J5" s="52"/>
      <x:c r="K5" s="52"/>
      <x:c r="L5" s="52"/>
      <x:c r="M5" s="52"/>
      <x:c r="N5" s="52"/>
      <x:c r="O5" s="52"/>
      <x:c r="P5" s="52"/>
    </x:row>
    <x:row r="6">
      <x:c r="A6" s="52"/>
      <x:c r="B6" s="52"/>
      <x:c r="C6" s="52"/>
      <x:c r="D6" s="52"/>
      <x:c r="E6" s="52"/>
      <x:c r="F6" s="52"/>
      <x:c r="G6" s="52"/>
      <x:c r="H6" s="52"/>
      <x:c r="I6" s="52"/>
      <x:c r="J6" s="52"/>
      <x:c r="K6" s="52"/>
      <x:c r="L6" s="52"/>
      <x:c r="M6" s="52"/>
      <x:c r="N6" s="52"/>
      <x:c r="O6" s="52"/>
      <x:c r="P6" s="52"/>
    </x:row>
    <x:row r="7">
      <x:c r="A7" s="61" t="str">
        <x:v>Categoría principal</x:v>
      </x:c>
      <x:c r="B7" s="62" t="str">
        <x:v>Registros</x:v>
      </x:c>
      <x:c r="C7" s="62" t="str">
        <x:v>Cantidad (suma)</x:v>
      </x:c>
      <x:c r="D7" s="62" t="str">
        <x:v>Venta total</x:v>
      </x:c>
      <x:c r="E7" s="62" t="str">
        <x:v>% de venta</x:v>
      </x:c>
      <x:c r="F7" s="63" t="str">
        <x:v>A revisar</x:v>
      </x:c>
      <x:c r="G7" s="52"/>
      <x:c r="H7" s="52"/>
      <x:c r="I7" s="52"/>
      <x:c r="J7" s="52"/>
      <x:c r="K7" s="52"/>
      <x:c r="L7" s="52"/>
      <x:c r="M7" s="52"/>
      <x:c r="N7" s="52"/>
      <x:c r="O7" s="52"/>
      <x:c r="P7" s="52"/>
    </x:row>
    <x:row r="8">
      <x:c r="A8" s="64" t="str">
        <x:v>Alimento balanceado y nutrición</x:v>
      </x:c>
      <x:c r="B8" s="65" t="n">
        <x:f>COUNTIF('Ventas categorizadas'!$D$2:$D$331,A8)</x:f>
        <x:v>135</x:v>
      </x:c>
      <x:c r="C8" s="65" t="n">
        <x:f>SUMIF('Ventas categorizadas'!$D$2:$D$331,A8,'Ventas categorizadas'!$I$2:$I$331)</x:f>
        <x:v>508</x:v>
      </x:c>
      <x:c r="D8" s="66" t="n">
        <x:f>SUMIF('Ventas categorizadas'!$D$2:$D$331,A8,'Ventas categorizadas'!$M$2:$M$331)</x:f>
        <x:v>5010995.18</x:v>
      </x:c>
      <x:c r="E8" s="67" t="n">
        <x:f>IFERROR(D8/$D$14,0)</x:f>
        <x:v>0.3767473724973152</x:v>
      </x:c>
      <x:c r="F8" s="68" t="n">
        <x:f>COUNTIFS('Ventas categorizadas'!$D$2:$D$331,A8,'Ventas categorizadas'!$G$2:$G$331,"Sí")</x:f>
        <x:v>0</x:v>
      </x:c>
      <x:c r="G8" s="52"/>
      <x:c r="H8" s="52"/>
      <x:c r="I8" s="52"/>
      <x:c r="J8" s="52"/>
      <x:c r="K8" s="52"/>
      <x:c r="L8" s="52"/>
      <x:c r="M8" s="52"/>
      <x:c r="N8" s="52"/>
      <x:c r="O8" s="52"/>
      <x:c r="P8" s="52"/>
    </x:row>
    <x:row r="9">
      <x:c r="A9" s="64" t="str">
        <x:v>Medicina veterinaria</x:v>
      </x:c>
      <x:c r="B9" s="65" t="n">
        <x:f>COUNTIF('Ventas categorizadas'!$D$2:$D$331,A9)</x:f>
        <x:v>92</x:v>
      </x:c>
      <x:c r="C9" s="65" t="n">
        <x:f>SUMIF('Ventas categorizadas'!$D$2:$D$331,A9,'Ventas categorizadas'!$I$2:$I$331)</x:f>
        <x:v>208</x:v>
      </x:c>
      <x:c r="D9" s="66" t="n">
        <x:f>SUMIF('Ventas categorizadas'!$D$2:$D$331,A9,'Ventas categorizadas'!$M$2:$M$331)</x:f>
        <x:v>2716179</x:v>
      </x:c>
      <x:c r="E9" s="67" t="n">
        <x:f>IFERROR(D9/$D$14,0)</x:f>
        <x:v>0.2042135872663891</x:v>
      </x:c>
      <x:c r="F9" s="68" t="n">
        <x:f>COUNTIFS('Ventas categorizadas'!$D$2:$D$331,A9,'Ventas categorizadas'!$G$2:$G$331,"Sí")</x:f>
        <x:v>1</x:v>
      </x:c>
      <x:c r="G9" s="52"/>
      <x:c r="H9" s="52"/>
      <x:c r="I9" s="52"/>
      <x:c r="J9" s="52"/>
      <x:c r="K9" s="52"/>
      <x:c r="L9" s="52"/>
      <x:c r="M9" s="52"/>
      <x:c r="N9" s="52"/>
      <x:c r="O9" s="52"/>
      <x:c r="P9" s="52"/>
    </x:row>
    <x:row r="10">
      <x:c r="A10" s="64" t="str">
        <x:v>Accesorios</x:v>
      </x:c>
      <x:c r="B10" s="65" t="n">
        <x:f>COUNTIF('Ventas categorizadas'!$D$2:$D$331,A10)</x:f>
        <x:v>33</x:v>
      </x:c>
      <x:c r="C10" s="65" t="n">
        <x:f>SUMIF('Ventas categorizadas'!$D$2:$D$331,A10,'Ventas categorizadas'!$I$2:$I$331)</x:f>
        <x:v>45</x:v>
      </x:c>
      <x:c r="D10" s="66" t="n">
        <x:f>SUMIF('Ventas categorizadas'!$D$2:$D$331,A10,'Ventas categorizadas'!$M$2:$M$331)</x:f>
        <x:v>731970</x:v>
      </x:c>
      <x:c r="E10" s="67" t="n">
        <x:f>IFERROR(D10/$D$14,0)</x:f>
        <x:v>0.055032536320831146</x:v>
      </x:c>
      <x:c r="F10" s="68" t="n">
        <x:f>COUNTIFS('Ventas categorizadas'!$D$2:$D$331,A10,'Ventas categorizadas'!$G$2:$G$331,"Sí")</x:f>
        <x:v>1</x:v>
      </x:c>
      <x:c r="G10" s="52"/>
      <x:c r="H10" s="52"/>
      <x:c r="I10" s="52"/>
      <x:c r="J10" s="52"/>
      <x:c r="K10" s="52"/>
      <x:c r="L10" s="52"/>
      <x:c r="M10" s="52"/>
      <x:c r="N10" s="52"/>
      <x:c r="O10" s="52"/>
      <x:c r="P10" s="52"/>
    </x:row>
    <x:row r="11">
      <x:c r="A11" s="64" t="str">
        <x:v>Higiene y cuidado</x:v>
      </x:c>
      <x:c r="B11" s="65" t="n">
        <x:f>COUNTIF('Ventas categorizadas'!$D$2:$D$331,A11)</x:f>
        <x:v>38</x:v>
      </x:c>
      <x:c r="C11" s="65" t="n">
        <x:f>SUMIF('Ventas categorizadas'!$D$2:$D$331,A11,'Ventas categorizadas'!$I$2:$I$331)</x:f>
        <x:v>95</x:v>
      </x:c>
      <x:c r="D11" s="66" t="n">
        <x:f>SUMIF('Ventas categorizadas'!$D$2:$D$331,A11,'Ventas categorizadas'!$M$2:$M$331)</x:f>
        <x:v>714578</x:v>
      </x:c>
      <x:c r="E11" s="67" t="n">
        <x:f>IFERROR(D11/$D$14,0)</x:f>
        <x:v>0.053724933725517274</x:v>
      </x:c>
      <x:c r="F11" s="68" t="n">
        <x:f>COUNTIFS('Ventas categorizadas'!$D$2:$D$331,A11,'Ventas categorizadas'!$G$2:$G$331,"Sí")</x:f>
        <x:v>1</x:v>
      </x:c>
      <x:c r="G11" s="52"/>
      <x:c r="H11" s="52"/>
      <x:c r="I11" s="52"/>
      <x:c r="J11" s="52"/>
      <x:c r="K11" s="52"/>
      <x:c r="L11" s="52"/>
      <x:c r="M11" s="52"/>
      <x:c r="N11" s="52"/>
      <x:c r="O11" s="52"/>
      <x:c r="P11" s="52"/>
    </x:row>
    <x:row r="12">
      <x:c r="A12" s="64" t="str">
        <x:v>Consulta veterinaria</x:v>
      </x:c>
      <x:c r="B12" s="65" t="n">
        <x:f>COUNTIF('Ventas categorizadas'!$D$2:$D$331,A12)</x:f>
        <x:v>14</x:v>
      </x:c>
      <x:c r="C12" s="65" t="n">
        <x:f>SUMIF('Ventas categorizadas'!$D$2:$D$331,A12,'Ventas categorizadas'!$I$2:$I$331)</x:f>
        <x:v>44</x:v>
      </x:c>
      <x:c r="D12" s="66" t="n">
        <x:f>SUMIF('Ventas categorizadas'!$D$2:$D$331,A12,'Ventas categorizadas'!$M$2:$M$331)</x:f>
        <x:v>1407000</x:v>
      </x:c>
      <x:c r="E12" s="67" t="n">
        <x:f>IFERROR(D12/$D$14,0)</x:f>
        <x:v>0.10578408760387642</x:v>
      </x:c>
      <x:c r="F12" s="68" t="n">
        <x:f>COUNTIFS('Ventas categorizadas'!$D$2:$D$331,A12,'Ventas categorizadas'!$G$2:$G$331,"Sí")</x:f>
        <x:v>0</x:v>
      </x:c>
      <x:c r="G12" s="52"/>
      <x:c r="H12" s="52"/>
      <x:c r="I12" s="52"/>
      <x:c r="J12" s="52"/>
      <x:c r="K12" s="52"/>
      <x:c r="L12" s="52"/>
      <x:c r="M12" s="52"/>
      <x:c r="N12" s="52"/>
      <x:c r="O12" s="52"/>
      <x:c r="P12" s="52"/>
    </x:row>
    <x:row r="13">
      <x:c r="A13" s="64" t="str">
        <x:v>Peluquería canina</x:v>
      </x:c>
      <x:c r="B13" s="65" t="n">
        <x:f>COUNTIF('Ventas categorizadas'!$D$2:$D$331,A13)</x:f>
        <x:v>18</x:v>
      </x:c>
      <x:c r="C13" s="65" t="n">
        <x:f>SUMIF('Ventas categorizadas'!$D$2:$D$331,A13,'Ventas categorizadas'!$I$2:$I$331)</x:f>
        <x:v>98</x:v>
      </x:c>
      <x:c r="D13" s="66" t="n">
        <x:f>SUMIF('Ventas categorizadas'!$D$2:$D$331,A13,'Ventas categorizadas'!$M$2:$M$331)</x:f>
        <x:v>2719955</x:v>
      </x:c>
      <x:c r="E13" s="67" t="n">
        <x:f>IFERROR(D13/$D$14,0)</x:f>
        <x:v>0.20449748258607087</x:v>
      </x:c>
      <x:c r="F13" s="68" t="n">
        <x:f>COUNTIFS('Ventas categorizadas'!$D$2:$D$331,A13,'Ventas categorizadas'!$G$2:$G$331,"Sí")</x:f>
        <x:v>3</x:v>
      </x:c>
      <x:c r="G13" s="52"/>
      <x:c r="H13" s="52"/>
      <x:c r="I13" s="52"/>
      <x:c r="J13" s="52"/>
      <x:c r="K13" s="52"/>
      <x:c r="L13" s="52"/>
      <x:c r="M13" s="52"/>
      <x:c r="N13" s="52"/>
      <x:c r="O13" s="52"/>
      <x:c r="P13" s="52"/>
    </x:row>
    <x:row r="14">
      <x:c r="A14" s="69" t="str">
        <x:v>TOTAL</x:v>
      </x:c>
      <x:c r="B14" s="70" t="n">
        <x:f>SUM(B8:B13)</x:f>
        <x:v>330</x:v>
      </x:c>
      <x:c r="C14" s="70" t="n">
        <x:f>SUM(C8:C13)</x:f>
        <x:v>998</x:v>
      </x:c>
      <x:c r="D14" s="71" t="n">
        <x:f>SUM(D8:D13)</x:f>
        <x:v>13300677.18</x:v>
      </x:c>
      <x:c r="E14" s="72" t="n">
        <x:f>SUM(E8:E13)</x:f>
        <x:v>1</x:v>
      </x:c>
      <x:c r="F14" s="70" t="n">
        <x:f>SUM(F8:F13)</x:f>
        <x:v>6</x:v>
      </x:c>
      <x:c r="G14" s="52"/>
      <x:c r="H14" s="52"/>
      <x:c r="I14" s="52"/>
      <x:c r="J14" s="52"/>
      <x:c r="K14" s="52"/>
      <x:c r="L14" s="52"/>
      <x:c r="M14" s="52"/>
      <x:c r="N14" s="52"/>
      <x:c r="O14" s="52"/>
      <x:c r="P14" s="52"/>
    </x:row>
    <x:row r="15">
      <x:c r="A15" s="52"/>
      <x:c r="B15" s="52"/>
      <x:c r="C15" s="52"/>
      <x:c r="D15" s="52"/>
      <x:c r="E15" s="52"/>
      <x:c r="F15" s="52"/>
      <x:c r="G15" s="52"/>
      <x:c r="H15" s="52"/>
      <x:c r="I15" s="52"/>
      <x:c r="J15" s="52"/>
      <x:c r="K15" s="52"/>
      <x:c r="L15" s="52"/>
      <x:c r="M15" s="52"/>
      <x:c r="N15" s="52"/>
      <x:c r="O15" s="52"/>
      <x:c r="P15" s="52"/>
    </x:row>
    <x:row r="16">
      <x:c r="A16" s="52"/>
      <x:c r="B16" s="52"/>
      <x:c r="C16" s="52"/>
      <x:c r="D16" s="52"/>
      <x:c r="E16" s="52"/>
      <x:c r="F16" s="52"/>
      <x:c r="G16" s="52"/>
      <x:c r="H16" s="52"/>
      <x:c r="I16" s="52"/>
      <x:c r="J16" s="52"/>
      <x:c r="K16" s="52"/>
      <x:c r="L16" s="52"/>
      <x:c r="M16" s="52"/>
      <x:c r="N16" s="52"/>
      <x:c r="O16" s="52"/>
      <x:c r="P16" s="52"/>
    </x:row>
    <x:row r="17" ht="34" customHeight="1">
      <x:c r="A17" s="73" t="str">
        <x:v>Nota: el archivo fuente no declara moneda. La suma de 'Cantidad' mezcla unidades y presentaciones; usarla como referencia operativa, no como volumen homogéneo.</x:v>
      </x:c>
      <x:c r="B17" s="73"/>
      <x:c r="C17" s="73"/>
      <x:c r="D17" s="73"/>
      <x:c r="E17" s="73"/>
      <x:c r="F17" s="73"/>
      <x:c r="G17" s="52"/>
      <x:c r="H17" s="52"/>
      <x:c r="I17" s="52"/>
      <x:c r="J17" s="52"/>
      <x:c r="K17" s="52"/>
      <x:c r="L17" s="52"/>
      <x:c r="M17" s="52"/>
      <x:c r="N17" s="52"/>
      <x:c r="O17" s="52"/>
      <x:c r="P17" s="52"/>
    </x:row>
    <x:row r="18">
      <x:c r="A18" s="52"/>
      <x:c r="B18" s="52"/>
      <x:c r="C18" s="52"/>
      <x:c r="D18" s="52"/>
      <x:c r="E18" s="52"/>
      <x:c r="F18" s="52"/>
      <x:c r="G18" s="52"/>
      <x:c r="H18" s="52"/>
      <x:c r="I18" s="52"/>
      <x:c r="J18" s="52"/>
      <x:c r="K18" s="52"/>
      <x:c r="L18" s="52"/>
      <x:c r="M18" s="52"/>
      <x:c r="N18" s="52"/>
      <x:c r="O18" s="52"/>
      <x:c r="P18" s="52"/>
    </x:row>
    <x:row r="19">
      <x:c r="A19" s="52"/>
      <x:c r="B19" s="52"/>
      <x:c r="C19" s="52"/>
      <x:c r="D19" s="52"/>
      <x:c r="E19" s="52"/>
      <x:c r="F19" s="52"/>
      <x:c r="G19" s="52"/>
      <x:c r="H19" s="52"/>
      <x:c r="I19" s="52"/>
      <x:c r="J19" s="52"/>
      <x:c r="K19" s="52"/>
      <x:c r="L19" s="52"/>
      <x:c r="M19" s="52"/>
      <x:c r="N19" s="52"/>
      <x:c r="O19" s="52"/>
      <x:c r="P19" s="52"/>
    </x:row>
    <x:row r="20">
      <x:c r="A20" s="52"/>
      <x:c r="B20" s="52"/>
      <x:c r="C20" s="52"/>
      <x:c r="D20" s="52"/>
      <x:c r="E20" s="52"/>
      <x:c r="F20" s="52"/>
      <x:c r="G20" s="52"/>
      <x:c r="H20" s="52"/>
      <x:c r="I20" s="52"/>
      <x:c r="J20" s="52"/>
      <x:c r="K20" s="52"/>
      <x:c r="L20" s="52"/>
      <x:c r="M20" s="52"/>
      <x:c r="N20" s="52"/>
      <x:c r="O20" s="52"/>
      <x:c r="P20" s="52"/>
    </x:row>
    <x:row r="21">
      <x:c r="A21" s="52"/>
      <x:c r="B21" s="52"/>
      <x:c r="C21" s="52"/>
      <x:c r="D21" s="52"/>
      <x:c r="E21" s="52"/>
      <x:c r="F21" s="52"/>
      <x:c r="G21" s="52"/>
      <x:c r="H21" s="52"/>
      <x:c r="I21" s="52"/>
      <x:c r="J21" s="52"/>
      <x:c r="K21" s="52"/>
      <x:c r="L21" s="52"/>
      <x:c r="M21" s="52"/>
      <x:c r="N21" s="52"/>
      <x:c r="O21" s="52"/>
      <x:c r="P21" s="52"/>
    </x:row>
    <x:row r="22">
      <x:c r="A22" s="52"/>
      <x:c r="B22" s="52"/>
      <x:c r="C22" s="52"/>
      <x:c r="D22" s="52"/>
      <x:c r="E22" s="52"/>
      <x:c r="F22" s="52"/>
      <x:c r="G22" s="52"/>
      <x:c r="H22" s="52"/>
      <x:c r="I22" s="52"/>
      <x:c r="J22" s="52"/>
      <x:c r="K22" s="52"/>
      <x:c r="L22" s="52"/>
      <x:c r="M22" s="52"/>
      <x:c r="N22" s="52"/>
      <x:c r="O22" s="52"/>
      <x:c r="P22" s="52"/>
    </x:row>
    <x:row r="23">
      <x:c r="A23" s="52"/>
      <x:c r="B23" s="52"/>
      <x:c r="C23" s="52"/>
      <x:c r="D23" s="52"/>
      <x:c r="E23" s="52"/>
      <x:c r="F23" s="52"/>
      <x:c r="G23" s="52"/>
      <x:c r="H23" s="52"/>
      <x:c r="I23" s="52"/>
      <x:c r="J23" s="52"/>
      <x:c r="K23" s="52"/>
      <x:c r="L23" s="52"/>
      <x:c r="M23" s="52"/>
      <x:c r="N23" s="52"/>
      <x:c r="O23" s="52"/>
      <x:c r="P23" s="52"/>
    </x:row>
    <x:row r="24">
      <x:c r="A24" s="52"/>
      <x:c r="B24" s="52"/>
      <x:c r="C24" s="52"/>
      <x:c r="D24" s="52"/>
      <x:c r="E24" s="52"/>
      <x:c r="F24" s="52"/>
      <x:c r="G24" s="52"/>
      <x:c r="H24" s="52"/>
      <x:c r="I24" s="52"/>
      <x:c r="J24" s="52"/>
      <x:c r="K24" s="52"/>
      <x:c r="L24" s="52"/>
      <x:c r="M24" s="52"/>
      <x:c r="N24" s="52"/>
      <x:c r="O24" s="52"/>
      <x:c r="P24" s="52"/>
    </x:row>
    <x:row r="25">
      <x:c r="A25" s="52"/>
      <x:c r="B25" s="52"/>
      <x:c r="C25" s="52"/>
      <x:c r="D25" s="52"/>
      <x:c r="E25" s="52"/>
      <x:c r="F25" s="52"/>
      <x:c r="G25" s="52"/>
      <x:c r="H25" s="52"/>
      <x:c r="I25" s="52"/>
      <x:c r="J25" s="52"/>
      <x:c r="K25" s="52"/>
      <x:c r="L25" s="52"/>
      <x:c r="M25" s="52"/>
      <x:c r="N25" s="52"/>
      <x:c r="O25" s="52"/>
      <x:c r="P25" s="52"/>
    </x:row>
  </x:sheetData>
  <x:mergeCells>
    <x:mergeCell ref="A1:F1"/>
    <x:mergeCell ref="A2:F2"/>
    <x:mergeCell ref="A17:F17"/>
  </x:mergeCells>
  <x:pageMargins left="0.7" right="0.7" top="0.75" bottom="0.75" header="0.3" footer="0.3"/>
  <x:drawing xmlns:r="http://schemas.openxmlformats.org/officeDocument/2006/relationships" r:id="R20739dbf0bc1467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6" hidden="0" customWidth="1"/>
    <x:col min="4" max="4" width="32" hidden="0" customWidth="1"/>
    <x:col min="5" max="5" width="30" hidden="0" customWidth="1"/>
    <x:col min="6" max="6" width="16" hidden="0" customWidth="1"/>
    <x:col min="7" max="7" width="16" hidden="0" customWidth="1"/>
    <x:col min="8" max="8" width="52" hidden="0" customWidth="1"/>
    <x:col min="9" max="9" width="13" hidden="0" customWidth="1"/>
    <x:col min="10" max="10" width="13" hidden="0" customWidth="1"/>
    <x:col min="11" max="11" width="18" hidden="0" customWidth="1"/>
    <x:col min="12" max="12" width="18" hidden="0" customWidth="1"/>
    <x:col min="13" max="13" width="18" hidden="0" customWidth="1"/>
    <x:col min="14" max="14" width="11" hidden="0" customWidth="1"/>
  </x:cols>
  <x:sheetData>
    <x:row r="1">
      <x:c r="A1" s="79" t="str">
        <x:v>Orden categoría</x:v>
      </x:c>
      <x:c r="B1" s="79" t="str">
        <x:v>Código</x:v>
      </x:c>
      <x:c r="C1" s="79" t="str">
        <x:v>Producto</x:v>
      </x:c>
      <x:c r="D1" s="79" t="str">
        <x:v>Categoría principal</x:v>
      </x:c>
      <x:c r="E1" s="79" t="str">
        <x:v>Subcategoría</x:v>
      </x:c>
      <x:c r="F1" s="79" t="str">
        <x:v>Naturaleza</x:v>
      </x:c>
      <x:c r="G1" s="79" t="str">
        <x:v>Revisión manual</x:v>
      </x:c>
      <x:c r="H1" s="79" t="str">
        <x:v>Observación</x:v>
      </x:c>
      <x:c r="I1" s="79" t="str">
        <x:v>Cantidad</x:v>
      </x:c>
      <x:c r="J1" s="79" t="str">
        <x:v>UM</x:v>
      </x:c>
      <x:c r="K1" s="79" t="str">
        <x:v>Base imponible</x:v>
      </x:c>
      <x:c r="L1" s="79" t="str">
        <x:v>Impuesto</x:v>
      </x:c>
      <x:c r="M1" s="79" t="str">
        <x:v>Total</x:v>
      </x:c>
      <x:c r="N1" s="79" t="str">
        <x:v>Fila origen</x:v>
      </x:c>
    </x:row>
    <x:row r="2">
      <x:c r="A2" s="80" t="n">
        <x:v>1</x:v>
      </x:c>
      <x:c r="B2" s="52" t="str">
        <x:v>60001724</x:v>
      </x:c>
      <x:c r="C2" s="83" t="str">
        <x:v>EUK AD CHKN+RIC+VEG 13,2OZ/375G</x:v>
      </x:c>
      <x:c r="D2" s="83" t="str">
        <x:v>Alimento balanceado y nutrición</x:v>
      </x:c>
      <x:c r="E2" s="83" t="str">
        <x:v>Alimento húmedo</x:v>
      </x:c>
      <x:c r="F2" s="83" t="str">
        <x:v>Producto</x:v>
      </x:c>
      <x:c r="G2" s="83" t="str">
        <x:v>No</x:v>
      </x:c>
      <x:c r="H2" s="83" t="str"/>
      <x:c r="I2" s="81" t="n">
        <x:v>3</x:v>
      </x:c>
      <x:c r="J2" s="52" t="str">
        <x:v>Lata</x:v>
      </x:c>
      <x:c r="K2" s="82" t="n">
        <x:v>23100</x:v>
      </x:c>
      <x:c r="L2" s="82" t="n">
        <x:v>0</x:v>
      </x:c>
      <x:c r="M2" s="82" t="n">
        <x:v>23100</x:v>
      </x:c>
      <x:c r="N2" s="80" t="n">
        <x:v>93</x:v>
      </x:c>
    </x:row>
    <x:row r="3">
      <x:c r="A3" s="80" t="n">
        <x:v>1</x:v>
      </x:c>
      <x:c r="B3" s="52" t="str"/>
      <x:c r="C3" s="83" t="str">
        <x:v>FHN Ageing +11 Pouch x 85 Gr</x:v>
      </x:c>
      <x:c r="D3" s="83" t="str">
        <x:v>Alimento balanceado y nutrición</x:v>
      </x:c>
      <x:c r="E3" s="83" t="str">
        <x:v>Alimento húmedo</x:v>
      </x:c>
      <x:c r="F3" s="83" t="str">
        <x:v>Producto</x:v>
      </x:c>
      <x:c r="G3" s="83" t="str">
        <x:v>No</x:v>
      </x:c>
      <x:c r="H3" s="83" t="str"/>
      <x:c r="I3" s="81" t="n">
        <x:v>26</x:v>
      </x:c>
      <x:c r="J3" s="52" t="str">
        <x:v>Pouch</x:v>
      </x:c>
      <x:c r="K3" s="82" t="n">
        <x:v>95400</x:v>
      </x:c>
      <x:c r="L3" s="82" t="n">
        <x:v>0</x:v>
      </x:c>
      <x:c r="M3" s="82" t="n">
        <x:v>95400</x:v>
      </x:c>
      <x:c r="N3" s="80" t="n">
        <x:v>122</x:v>
      </x:c>
    </x:row>
    <x:row r="4">
      <x:c r="A4" s="80" t="n">
        <x:v>1</x:v>
      </x:c>
      <x:c r="B4" s="52" t="str">
        <x:v>3398812</x:v>
      </x:c>
      <x:c r="C4" s="83" t="str">
        <x:v>GI Feline Wet Pouch x 85 Gr</x:v>
      </x:c>
      <x:c r="D4" s="83" t="str">
        <x:v>Alimento balanceado y nutrición</x:v>
      </x:c>
      <x:c r="E4" s="83" t="str">
        <x:v>Alimento húmedo</x:v>
      </x:c>
      <x:c r="F4" s="83" t="str">
        <x:v>Producto</x:v>
      </x:c>
      <x:c r="G4" s="83" t="str">
        <x:v>No</x:v>
      </x:c>
      <x:c r="H4" s="83" t="str"/>
      <x:c r="I4" s="81" t="n">
        <x:v>8</x:v>
      </x:c>
      <x:c r="J4" s="52" t="str">
        <x:v>Pouch</x:v>
      </x:c>
      <x:c r="K4" s="82" t="n">
        <x:v>32150</x:v>
      </x:c>
      <x:c r="L4" s="82" t="n">
        <x:v>0</x:v>
      </x:c>
      <x:c r="M4" s="82" t="n">
        <x:v>32150</x:v>
      </x:c>
      <x:c r="N4" s="80" t="n">
        <x:v>143</x:v>
      </x:c>
    </x:row>
    <x:row r="5">
      <x:c r="A5" s="80" t="n">
        <x:v>1</x:v>
      </x:c>
      <x:c r="B5" s="52" t="str">
        <x:v>3394102</x:v>
      </x:c>
      <x:c r="C5" s="83" t="str">
        <x:v>Instictive 7+ Pouch 85 Gr</x:v>
      </x:c>
      <x:c r="D5" s="83" t="str">
        <x:v>Alimento balanceado y nutrición</x:v>
      </x:c>
      <x:c r="E5" s="83" t="str">
        <x:v>Alimento húmedo</x:v>
      </x:c>
      <x:c r="F5" s="83" t="str">
        <x:v>Producto</x:v>
      </x:c>
      <x:c r="G5" s="83" t="str">
        <x:v>No</x:v>
      </x:c>
      <x:c r="H5" s="83" t="str"/>
      <x:c r="I5" s="81" t="n">
        <x:v>5</x:v>
      </x:c>
      <x:c r="J5" s="52" t="str">
        <x:v>Pouch</x:v>
      </x:c>
      <x:c r="K5" s="82" t="n">
        <x:v>17940</x:v>
      </x:c>
      <x:c r="L5" s="82" t="n">
        <x:v>0</x:v>
      </x:c>
      <x:c r="M5" s="82" t="n">
        <x:v>17940</x:v>
      </x:c>
      <x:c r="N5" s="80" t="n">
        <x:v>153</x:v>
      </x:c>
    </x:row>
    <x:row r="6">
      <x:c r="A6" s="80" t="n">
        <x:v>1</x:v>
      </x:c>
      <x:c r="B6" s="52" t="str">
        <x:v>3393102</x:v>
      </x:c>
      <x:c r="C6" s="83" t="str">
        <x:v>Instinctive Pouch x 85 Gr</x:v>
      </x:c>
      <x:c r="D6" s="83" t="str">
        <x:v>Alimento balanceado y nutrición</x:v>
      </x:c>
      <x:c r="E6" s="83" t="str">
        <x:v>Alimento húmedo</x:v>
      </x:c>
      <x:c r="F6" s="83" t="str">
        <x:v>Producto</x:v>
      </x:c>
      <x:c r="G6" s="83" t="str">
        <x:v>No</x:v>
      </x:c>
      <x:c r="H6" s="83" t="str"/>
      <x:c r="I6" s="81" t="n">
        <x:v>16</x:v>
      </x:c>
      <x:c r="J6" s="52" t="str">
        <x:v>Pouch</x:v>
      </x:c>
      <x:c r="K6" s="82" t="n">
        <x:v>60180</x:v>
      </x:c>
      <x:c r="L6" s="82" t="n">
        <x:v>0</x:v>
      </x:c>
      <x:c r="M6" s="82" t="n">
        <x:v>60180</x:v>
      </x:c>
      <x:c r="N6" s="80" t="n">
        <x:v>154</x:v>
      </x:c>
    </x:row>
    <x:row r="7">
      <x:c r="A7" s="80" t="n">
        <x:v>1</x:v>
      </x:c>
      <x:c r="B7" s="52" t="str">
        <x:v>3396102</x:v>
      </x:c>
      <x:c r="C7" s="83" t="str">
        <x:v>Intense Beauty Pouch x 85 Gr</x:v>
      </x:c>
      <x:c r="D7" s="83" t="str">
        <x:v>Alimento balanceado y nutrición</x:v>
      </x:c>
      <x:c r="E7" s="83" t="str">
        <x:v>Alimento húmedo</x:v>
      </x:c>
      <x:c r="F7" s="83" t="str">
        <x:v>Producto</x:v>
      </x:c>
      <x:c r="G7" s="83" t="str">
        <x:v>No</x:v>
      </x:c>
      <x:c r="H7" s="83" t="str"/>
      <x:c r="I7" s="81" t="n">
        <x:v>6</x:v>
      </x:c>
      <x:c r="J7" s="52" t="str">
        <x:v>Pouch</x:v>
      </x:c>
      <x:c r="K7" s="82" t="n">
        <x:v>21540</x:v>
      </x:c>
      <x:c r="L7" s="82" t="n">
        <x:v>0</x:v>
      </x:c>
      <x:c r="M7" s="82" t="n">
        <x:v>21540</x:v>
      </x:c>
      <x:c r="N7" s="80" t="n">
        <x:v>155</x:v>
      </x:c>
    </x:row>
    <x:row r="8">
      <x:c r="A8" s="80" t="n">
        <x:v>1</x:v>
      </x:c>
      <x:c r="B8" s="52" t="str">
        <x:v>25-04-08-02</x:v>
      </x:c>
      <x:c r="C8" s="83" t="str">
        <x:v>KATZE ADULTO WET SALMON Y POLLO X 340 GRAMOS</x:v>
      </x:c>
      <x:c r="D8" s="83" t="str">
        <x:v>Alimento balanceado y nutrición</x:v>
      </x:c>
      <x:c r="E8" s="83" t="str">
        <x:v>Alimento húmedo</x:v>
      </x:c>
      <x:c r="F8" s="83" t="str">
        <x:v>Producto</x:v>
      </x:c>
      <x:c r="G8" s="83" t="str">
        <x:v>No</x:v>
      </x:c>
      <x:c r="H8" s="83" t="str"/>
      <x:c r="I8" s="81" t="n">
        <x:v>3</x:v>
      </x:c>
      <x:c r="J8" s="52" t="str">
        <x:v>Lata</x:v>
      </x:c>
      <x:c r="K8" s="82" t="n">
        <x:v>25024</x:v>
      </x:c>
      <x:c r="L8" s="82" t="n">
        <x:v>0</x:v>
      </x:c>
      <x:c r="M8" s="82" t="n">
        <x:v>25024</x:v>
      </x:c>
      <x:c r="N8" s="80" t="n">
        <x:v>158</x:v>
      </x:c>
    </x:row>
    <x:row r="9">
      <x:c r="A9" s="80" t="n">
        <x:v>1</x:v>
      </x:c>
      <x:c r="B9" s="52" t="str">
        <x:v>3401102</x:v>
      </x:c>
      <x:c r="C9" s="83" t="str">
        <x:v>Kitten Pouch x 85 Gr</x:v>
      </x:c>
      <x:c r="D9" s="83" t="str">
        <x:v>Alimento balanceado y nutrición</x:v>
      </x:c>
      <x:c r="E9" s="83" t="str">
        <x:v>Alimento húmedo</x:v>
      </x:c>
      <x:c r="F9" s="83" t="str">
        <x:v>Producto</x:v>
      </x:c>
      <x:c r="G9" s="83" t="str">
        <x:v>No</x:v>
      </x:c>
      <x:c r="H9" s="83" t="str"/>
      <x:c r="I9" s="81" t="n">
        <x:v>2</x:v>
      </x:c>
      <x:c r="J9" s="52" t="str">
        <x:v>Pouch</x:v>
      </x:c>
      <x:c r="K9" s="82" t="n">
        <x:v>6720</x:v>
      </x:c>
      <x:c r="L9" s="82" t="n">
        <x:v>0</x:v>
      </x:c>
      <x:c r="M9" s="82" t="n">
        <x:v>6720</x:v>
      </x:c>
      <x:c r="N9" s="80" t="n">
        <x:v>160</x:v>
      </x:c>
    </x:row>
    <x:row r="10">
      <x:c r="A10" s="80" t="n">
        <x:v>1</x:v>
      </x:c>
      <x:c r="B10" s="52" t="str">
        <x:v>DG01P</x:v>
      </x:c>
      <x:c r="C10" s="83" t="str">
        <x:v>MEDIUM ADULT Pouch 140 Gr</x:v>
      </x:c>
      <x:c r="D10" s="83" t="str">
        <x:v>Alimento balanceado y nutrición</x:v>
      </x:c>
      <x:c r="E10" s="83" t="str">
        <x:v>Alimento húmedo</x:v>
      </x:c>
      <x:c r="F10" s="83" t="str">
        <x:v>Producto</x:v>
      </x:c>
      <x:c r="G10" s="83" t="str">
        <x:v>No</x:v>
      </x:c>
      <x:c r="H10" s="83" t="str"/>
      <x:c r="I10" s="81" t="n">
        <x:v>7</x:v>
      </x:c>
      <x:c r="J10" s="52" t="str">
        <x:v>Pouch</x:v>
      </x:c>
      <x:c r="K10" s="82" t="n">
        <x:v>24340</x:v>
      </x:c>
      <x:c r="L10" s="82" t="n">
        <x:v>0</x:v>
      </x:c>
      <x:c r="M10" s="82" t="n">
        <x:v>24340</x:v>
      </x:c>
      <x:c r="N10" s="80" t="n">
        <x:v>172</x:v>
      </x:c>
    </x:row>
    <x:row r="11">
      <x:c r="A11" s="80" t="n">
        <x:v>1</x:v>
      </x:c>
      <x:c r="B11" s="52" t="str">
        <x:v>DF10W</x:v>
      </x:c>
      <x:c r="C11" s="83" t="str">
        <x:v>Mini Adult Wet Poch x 85 Gr</x:v>
      </x:c>
      <x:c r="D11" s="83" t="str">
        <x:v>Alimento balanceado y nutrición</x:v>
      </x:c>
      <x:c r="E11" s="83" t="str">
        <x:v>Alimento húmedo</x:v>
      </x:c>
      <x:c r="F11" s="83" t="str">
        <x:v>Producto</x:v>
      </x:c>
      <x:c r="G11" s="83" t="str">
        <x:v>No</x:v>
      </x:c>
      <x:c r="H11" s="83" t="str"/>
      <x:c r="I11" s="81" t="n">
        <x:v>11</x:v>
      </x:c>
      <x:c r="J11" s="52" t="str">
        <x:v>Pouch</x:v>
      </x:c>
      <x:c r="K11" s="82" t="n">
        <x:v>26200</x:v>
      </x:c>
      <x:c r="L11" s="82" t="n">
        <x:v>0</x:v>
      </x:c>
      <x:c r="M11" s="82" t="n">
        <x:v>26200</x:v>
      </x:c>
      <x:c r="N11" s="80" t="n">
        <x:v>185</x:v>
      </x:c>
    </x:row>
    <x:row r="12">
      <x:c r="A12" s="80" t="n">
        <x:v>1</x:v>
      </x:c>
      <x:c r="B12" s="52" t="str">
        <x:v>DF87V</x:v>
      </x:c>
      <x:c r="C12" s="83" t="str">
        <x:v>Mini AGEING 12+ x 85 Gr</x:v>
      </x:c>
      <x:c r="D12" s="83" t="str">
        <x:v>Alimento balanceado y nutrición</x:v>
      </x:c>
      <x:c r="E12" s="83" t="str">
        <x:v>Alimento húmedo</x:v>
      </x:c>
      <x:c r="F12" s="83" t="str">
        <x:v>Producto</x:v>
      </x:c>
      <x:c r="G12" s="83" t="str">
        <x:v>No</x:v>
      </x:c>
      <x:c r="H12" s="83" t="str"/>
      <x:c r="I12" s="81" t="n">
        <x:v>4</x:v>
      </x:c>
      <x:c r="J12" s="52" t="str">
        <x:v>Pouch</x:v>
      </x:c>
      <x:c r="K12" s="82" t="n">
        <x:v>9360</x:v>
      </x:c>
      <x:c r="L12" s="82" t="n">
        <x:v>0</x:v>
      </x:c>
      <x:c r="M12" s="82" t="n">
        <x:v>9360</x:v>
      </x:c>
      <x:c r="N12" s="80" t="n">
        <x:v>187</x:v>
      </x:c>
    </x:row>
    <x:row r="13">
      <x:c r="A13" s="80" t="n">
        <x:v>1</x:v>
      </x:c>
      <x:c r="B13" s="52" t="str">
        <x:v>2438102</x:v>
      </x:c>
      <x:c r="C13" s="83" t="str">
        <x:v>MINI PUPPY Wet Poch x 85 Gr</x:v>
      </x:c>
      <x:c r="D13" s="83" t="str">
        <x:v>Alimento balanceado y nutrición</x:v>
      </x:c>
      <x:c r="E13" s="83" t="str">
        <x:v>Alimento húmedo</x:v>
      </x:c>
      <x:c r="F13" s="83" t="str">
        <x:v>Producto</x:v>
      </x:c>
      <x:c r="G13" s="83" t="str">
        <x:v>No</x:v>
      </x:c>
      <x:c r="H13" s="83" t="str"/>
      <x:c r="I13" s="81" t="n">
        <x:v>5</x:v>
      </x:c>
      <x:c r="J13" s="52" t="str">
        <x:v>Pouch</x:v>
      </x:c>
      <x:c r="K13" s="82" t="n">
        <x:v>11960</x:v>
      </x:c>
      <x:c r="L13" s="82" t="n">
        <x:v>0</x:v>
      </x:c>
      <x:c r="M13" s="82" t="n">
        <x:v>11960</x:v>
      </x:c>
      <x:c r="N13" s="80" t="n">
        <x:v>190</x:v>
      </x:c>
    </x:row>
    <x:row r="14">
      <x:c r="A14" s="80" t="n">
        <x:v>1</x:v>
      </x:c>
      <x:c r="B14" s="52" t="str">
        <x:v>3400204</x:v>
      </x:c>
      <x:c r="C14" s="83" t="str">
        <x:v>Mother &amp; Babycat Lata x 195 Gr</x:v>
      </x:c>
      <x:c r="D14" s="83" t="str">
        <x:v>Alimento balanceado y nutrición</x:v>
      </x:c>
      <x:c r="E14" s="83" t="str">
        <x:v>Alimento húmedo</x:v>
      </x:c>
      <x:c r="F14" s="83" t="str">
        <x:v>Producto</x:v>
      </x:c>
      <x:c r="G14" s="83" t="str">
        <x:v>No</x:v>
      </x:c>
      <x:c r="H14" s="83" t="str"/>
      <x:c r="I14" s="81" t="n">
        <x:v>11</x:v>
      </x:c>
      <x:c r="J14" s="52" t="str">
        <x:v>Pouch</x:v>
      </x:c>
      <x:c r="K14" s="82" t="n">
        <x:v>77715</x:v>
      </x:c>
      <x:c r="L14" s="82" t="n">
        <x:v>0</x:v>
      </x:c>
      <x:c r="M14" s="82" t="n">
        <x:v>77715</x:v>
      </x:c>
      <x:c r="N14" s="80" t="n">
        <x:v>197</x:v>
      </x:c>
    </x:row>
    <x:row r="15">
      <x:c r="A15" s="80" t="n">
        <x:v>1</x:v>
      </x:c>
      <x:c r="B15" s="52" t="str">
        <x:v>12570869</x:v>
      </x:c>
      <x:c r="C15" s="83" t="str">
        <x:v>PEDIGRE POUCH RAZAS PEQUEÑAS CARNE X 100</x:v>
      </x:c>
      <x:c r="D15" s="83" t="str">
        <x:v>Alimento balanceado y nutrición</x:v>
      </x:c>
      <x:c r="E15" s="83" t="str">
        <x:v>Alimento húmedo</x:v>
      </x:c>
      <x:c r="F15" s="83" t="str">
        <x:v>Producto</x:v>
      </x:c>
      <x:c r="G15" s="83" t="str">
        <x:v>No</x:v>
      </x:c>
      <x:c r="H15" s="83" t="str"/>
      <x:c r="I15" s="81" t="n">
        <x:v>1</x:v>
      </x:c>
      <x:c r="J15" s="52" t="str"/>
      <x:c r="K15" s="82" t="n">
        <x:v>1600</x:v>
      </x:c>
      <x:c r="L15" s="82" t="n">
        <x:v>0</x:v>
      </x:c>
      <x:c r="M15" s="82" t="n">
        <x:v>1600</x:v>
      </x:c>
      <x:c r="N15" s="80" t="n">
        <x:v>233</x:v>
      </x:c>
    </x:row>
    <x:row r="16">
      <x:c r="A16" s="80" t="n">
        <x:v>1</x:v>
      </x:c>
      <x:c r="B16" s="52" t="str">
        <x:v>12570868</x:v>
      </x:c>
      <x:c r="C16" s="83" t="str">
        <x:v>PEDIGREE POUCH CACHORRO SABOR CARNE X 85</x:v>
      </x:c>
      <x:c r="D16" s="83" t="str">
        <x:v>Alimento balanceado y nutrición</x:v>
      </x:c>
      <x:c r="E16" s="83" t="str">
        <x:v>Alimento húmedo</x:v>
      </x:c>
      <x:c r="F16" s="83" t="str">
        <x:v>Producto</x:v>
      </x:c>
      <x:c r="G16" s="83" t="str">
        <x:v>No</x:v>
      </x:c>
      <x:c r="H16" s="83" t="str"/>
      <x:c r="I16" s="81" t="n">
        <x:v>1</x:v>
      </x:c>
      <x:c r="J16" s="52" t="str"/>
      <x:c r="K16" s="82" t="n">
        <x:v>1600</x:v>
      </x:c>
      <x:c r="L16" s="82" t="n">
        <x:v>0</x:v>
      </x:c>
      <x:c r="M16" s="82" t="n">
        <x:v>1600</x:v>
      </x:c>
      <x:c r="N16" s="80" t="n">
        <x:v>238</x:v>
      </x:c>
    </x:row>
    <x:row r="17">
      <x:c r="A17" s="80" t="n">
        <x:v>1</x:v>
      </x:c>
      <x:c r="B17" s="52" t="str">
        <x:v>1102</x:v>
      </x:c>
      <x:c r="C17" s="83" t="str">
        <x:v>PEDIGREE POUCH Sabor Carne 12 UND</x:v>
      </x:c>
      <x:c r="D17" s="83" t="str">
        <x:v>Alimento balanceado y nutrición</x:v>
      </x:c>
      <x:c r="E17" s="83" t="str">
        <x:v>Alimento húmedo</x:v>
      </x:c>
      <x:c r="F17" s="83" t="str">
        <x:v>Producto</x:v>
      </x:c>
      <x:c r="G17" s="83" t="str">
        <x:v>No</x:v>
      </x:c>
      <x:c r="H17" s="83" t="str"/>
      <x:c r="I17" s="81" t="n">
        <x:v>1</x:v>
      </x:c>
      <x:c r="J17" s="52" t="str">
        <x:v>100 Gr</x:v>
      </x:c>
      <x:c r="K17" s="82" t="n">
        <x:v>1440</x:v>
      </x:c>
      <x:c r="L17" s="82" t="n">
        <x:v>0</x:v>
      </x:c>
      <x:c r="M17" s="82" t="n">
        <x:v>1440</x:v>
      </x:c>
      <x:c r="N17" s="80" t="n">
        <x:v>236</x:v>
      </x:c>
    </x:row>
    <x:row r="18">
      <x:c r="A18" s="80" t="n">
        <x:v>1</x:v>
      </x:c>
      <x:c r="B18" s="52" t="str">
        <x:v>1103</x:v>
      </x:c>
      <x:c r="C18" s="83" t="str">
        <x:v>PEDIGREE POUCH Sabor Pollo 12 UND</x:v>
      </x:c>
      <x:c r="D18" s="83" t="str">
        <x:v>Alimento balanceado y nutrición</x:v>
      </x:c>
      <x:c r="E18" s="83" t="str">
        <x:v>Alimento húmedo</x:v>
      </x:c>
      <x:c r="F18" s="83" t="str">
        <x:v>Producto</x:v>
      </x:c>
      <x:c r="G18" s="83" t="str">
        <x:v>No</x:v>
      </x:c>
      <x:c r="H18" s="83" t="str"/>
      <x:c r="I18" s="81" t="n">
        <x:v>4</x:v>
      </x:c>
      <x:c r="J18" s="52" t="str">
        <x:v>100 Gr</x:v>
      </x:c>
      <x:c r="K18" s="82" t="n">
        <x:v>5920</x:v>
      </x:c>
      <x:c r="L18" s="82" t="n">
        <x:v>0</x:v>
      </x:c>
      <x:c r="M18" s="82" t="n">
        <x:v>5920</x:v>
      </x:c>
      <x:c r="N18" s="80" t="n">
        <x:v>237</x:v>
      </x:c>
    </x:row>
    <x:row r="19">
      <x:c r="A19" s="80" t="n">
        <x:v>1</x:v>
      </x:c>
      <x:c r="B19" s="52" t="str">
        <x:v>3404102</x:v>
      </x:c>
      <x:c r="C19" s="83" t="str">
        <x:v>POODLE Pouch X 85 Gr</x:v>
      </x:c>
      <x:c r="D19" s="83" t="str">
        <x:v>Alimento balanceado y nutrición</x:v>
      </x:c>
      <x:c r="E19" s="83" t="str">
        <x:v>Alimento húmedo</x:v>
      </x:c>
      <x:c r="F19" s="83" t="str">
        <x:v>Producto</x:v>
      </x:c>
      <x:c r="G19" s="83" t="str">
        <x:v>No</x:v>
      </x:c>
      <x:c r="H19" s="83" t="str"/>
      <x:c r="I19" s="81" t="n">
        <x:v>3</x:v>
      </x:c>
      <x:c r="J19" s="52" t="str">
        <x:v>Pouch</x:v>
      </x:c>
      <x:c r="K19" s="82" t="n">
        <x:v>8680</x:v>
      </x:c>
      <x:c r="L19" s="82" t="n">
        <x:v>0</x:v>
      </x:c>
      <x:c r="M19" s="82" t="n">
        <x:v>8680</x:v>
      </x:c>
      <x:c r="N19" s="80" t="n">
        <x:v>256</x:v>
      </x:c>
    </x:row>
    <x:row r="20">
      <x:c r="A20" s="80" t="n">
        <x:v>1</x:v>
      </x:c>
      <x:c r="B20" s="52" t="str">
        <x:v>25-04-08-03</x:v>
      </x:c>
      <x:c r="C20" s="83" t="str">
        <x:v>POUCH KATZE ADULTO WET SALMON Y POLLO X 100 GRAMOS</x:v>
      </x:c>
      <x:c r="D20" s="83" t="str">
        <x:v>Alimento balanceado y nutrición</x:v>
      </x:c>
      <x:c r="E20" s="83" t="str">
        <x:v>Alimento húmedo</x:v>
      </x:c>
      <x:c r="F20" s="83" t="str">
        <x:v>Producto</x:v>
      </x:c>
      <x:c r="G20" s="83" t="str">
        <x:v>No</x:v>
      </x:c>
      <x:c r="H20" s="83" t="str"/>
      <x:c r="I20" s="81" t="n">
        <x:v>3</x:v>
      </x:c>
      <x:c r="J20" s="52" t="str">
        <x:v>Pouch</x:v>
      </x:c>
      <x:c r="K20" s="82" t="n">
        <x:v>11200</x:v>
      </x:c>
      <x:c r="L20" s="82" t="n">
        <x:v>0</x:v>
      </x:c>
      <x:c r="M20" s="82" t="n">
        <x:v>11200</x:v>
      </x:c>
      <x:c r="N20" s="80" t="n">
        <x:v>259</x:v>
      </x:c>
    </x:row>
    <x:row r="21">
      <x:c r="A21" s="80" t="n">
        <x:v>1</x:v>
      </x:c>
      <x:c r="B21" s="52" t="str">
        <x:v>1517102</x:v>
      </x:c>
      <x:c r="C21" s="83" t="str">
        <x:v>SENSORY SMELL x 85 Gr</x:v>
      </x:c>
      <x:c r="D21" s="83" t="str">
        <x:v>Alimento balanceado y nutrición</x:v>
      </x:c>
      <x:c r="E21" s="83" t="str">
        <x:v>Alimento húmedo</x:v>
      </x:c>
      <x:c r="F21" s="83" t="str">
        <x:v>Producto</x:v>
      </x:c>
      <x:c r="G21" s="83" t="str">
        <x:v>No</x:v>
      </x:c>
      <x:c r="H21" s="83" t="str"/>
      <x:c r="I21" s="81" t="n">
        <x:v>4</x:v>
      </x:c>
      <x:c r="J21" s="52" t="str">
        <x:v>Pouch</x:v>
      </x:c>
      <x:c r="K21" s="82" t="n">
        <x:v>14040</x:v>
      </x:c>
      <x:c r="L21" s="82" t="n">
        <x:v>0</x:v>
      </x:c>
      <x:c r="M21" s="82" t="n">
        <x:v>14040</x:v>
      </x:c>
      <x:c r="N21" s="80" t="n">
        <x:v>290</x:v>
      </x:c>
    </x:row>
    <x:row r="22">
      <x:c r="A22" s="80" t="n">
        <x:v>1</x:v>
      </x:c>
      <x:c r="B22" s="52" t="str">
        <x:v>25-04-02-02</x:v>
      </x:c>
      <x:c r="C22" s="83" t="str">
        <x:v>SIEGER PERRO ADULTO WET SALMON Y POLLO X 340 GRAMOS</x:v>
      </x:c>
      <x:c r="D22" s="83" t="str">
        <x:v>Alimento balanceado y nutrición</x:v>
      </x:c>
      <x:c r="E22" s="83" t="str">
        <x:v>Alimento húmedo</x:v>
      </x:c>
      <x:c r="F22" s="83" t="str">
        <x:v>Producto</x:v>
      </x:c>
      <x:c r="G22" s="83" t="str">
        <x:v>No</x:v>
      </x:c>
      <x:c r="H22" s="83" t="str"/>
      <x:c r="I22" s="81" t="n">
        <x:v>3</x:v>
      </x:c>
      <x:c r="J22" s="52" t="str">
        <x:v>Lata</x:v>
      </x:c>
      <x:c r="K22" s="82" t="n">
        <x:v>27600</x:v>
      </x:c>
      <x:c r="L22" s="82" t="n">
        <x:v>0</x:v>
      </x:c>
      <x:c r="M22" s="82" t="n">
        <x:v>27600</x:v>
      </x:c>
      <x:c r="N22" s="80" t="n">
        <x:v>292</x:v>
      </x:c>
    </x:row>
    <x:row r="23">
      <x:c r="A23" s="80" t="n">
        <x:v>1</x:v>
      </x:c>
      <x:c r="B23" s="52" t="str">
        <x:v>12570870</x:v>
      </x:c>
      <x:c r="C23" s="83" t="str">
        <x:v>WHISKA SABOR PAVO 12 UND</x:v>
      </x:c>
      <x:c r="D23" s="83" t="str">
        <x:v>Alimento balanceado y nutrición</x:v>
      </x:c>
      <x:c r="E23" s="83" t="str">
        <x:v>Alimento húmedo</x:v>
      </x:c>
      <x:c r="F23" s="83" t="str">
        <x:v>Producto</x:v>
      </x:c>
      <x:c r="G23" s="83" t="str">
        <x:v>No</x:v>
      </x:c>
      <x:c r="H23" s="83" t="str"/>
      <x:c r="I23" s="81" t="n">
        <x:v>1</x:v>
      </x:c>
      <x:c r="J23" s="52" t="str"/>
      <x:c r="K23" s="82" t="n">
        <x:v>1450</x:v>
      </x:c>
      <x:c r="L23" s="82" t="n">
        <x:v>0</x:v>
      </x:c>
      <x:c r="M23" s="82" t="n">
        <x:v>1450</x:v>
      </x:c>
      <x:c r="N23" s="80" t="n">
        <x:v>325</x:v>
      </x:c>
    </x:row>
    <x:row r="24">
      <x:c r="A24" s="80" t="n">
        <x:v>1</x:v>
      </x:c>
      <x:c r="B24" s="52" t="str">
        <x:v>1152</x:v>
      </x:c>
      <x:c r="C24" s="83" t="str">
        <x:v>WHISKAS POUCH Sabor Carne 12 UND</x:v>
      </x:c>
      <x:c r="D24" s="83" t="str">
        <x:v>Alimento balanceado y nutrición</x:v>
      </x:c>
      <x:c r="E24" s="83" t="str">
        <x:v>Alimento húmedo</x:v>
      </x:c>
      <x:c r="F24" s="83" t="str">
        <x:v>Producto</x:v>
      </x:c>
      <x:c r="G24" s="83" t="str">
        <x:v>No</x:v>
      </x:c>
      <x:c r="H24" s="83" t="str"/>
      <x:c r="I24" s="81" t="n">
        <x:v>6</x:v>
      </x:c>
      <x:c r="J24" s="52" t="str">
        <x:v>100 Gr</x:v>
      </x:c>
      <x:c r="K24" s="82" t="n">
        <x:v>9120</x:v>
      </x:c>
      <x:c r="L24" s="82" t="n">
        <x:v>0</x:v>
      </x:c>
      <x:c r="M24" s="82" t="n">
        <x:v>9120</x:v>
      </x:c>
      <x:c r="N24" s="80" t="n">
        <x:v>327</x:v>
      </x:c>
    </x:row>
    <x:row r="25">
      <x:c r="A25" s="80" t="n">
        <x:v>1</x:v>
      </x:c>
      <x:c r="B25" s="52" t="str">
        <x:v>1153</x:v>
      </x:c>
      <x:c r="C25" s="83" t="str">
        <x:v>WHISKAS POUCH Sabor Pollo 12 UND</x:v>
      </x:c>
      <x:c r="D25" s="83" t="str">
        <x:v>Alimento balanceado y nutrición</x:v>
      </x:c>
      <x:c r="E25" s="83" t="str">
        <x:v>Alimento húmedo</x:v>
      </x:c>
      <x:c r="F25" s="83" t="str">
        <x:v>Producto</x:v>
      </x:c>
      <x:c r="G25" s="83" t="str">
        <x:v>No</x:v>
      </x:c>
      <x:c r="H25" s="83" t="str"/>
      <x:c r="I25" s="81" t="n">
        <x:v>3</x:v>
      </x:c>
      <x:c r="J25" s="52" t="str">
        <x:v>100 Gr</x:v>
      </x:c>
      <x:c r="K25" s="82" t="n">
        <x:v>4480</x:v>
      </x:c>
      <x:c r="L25" s="82" t="n">
        <x:v>0</x:v>
      </x:c>
      <x:c r="M25" s="82" t="n">
        <x:v>4480</x:v>
      </x:c>
      <x:c r="N25" s="80" t="n">
        <x:v>328</x:v>
      </x:c>
    </x:row>
    <x:row r="26">
      <x:c r="A26" s="80" t="n">
        <x:v>1</x:v>
      </x:c>
      <x:c r="B26" s="52" t="str">
        <x:v>1151</x:v>
      </x:c>
      <x:c r="C26" s="83" t="str">
        <x:v>WHISKAS POUCH Sabor Salmon 12 UND</x:v>
      </x:c>
      <x:c r="D26" s="83" t="str">
        <x:v>Alimento balanceado y nutrición</x:v>
      </x:c>
      <x:c r="E26" s="83" t="str">
        <x:v>Alimento húmedo</x:v>
      </x:c>
      <x:c r="F26" s="83" t="str">
        <x:v>Producto</x:v>
      </x:c>
      <x:c r="G26" s="83" t="str">
        <x:v>No</x:v>
      </x:c>
      <x:c r="H26" s="83" t="str"/>
      <x:c r="I26" s="81" t="n">
        <x:v>1</x:v>
      </x:c>
      <x:c r="J26" s="52" t="str">
        <x:v>100 Gr</x:v>
      </x:c>
      <x:c r="K26" s="82" t="n">
        <x:v>1600</x:v>
      </x:c>
      <x:c r="L26" s="82" t="n">
        <x:v>0</x:v>
      </x:c>
      <x:c r="M26" s="82" t="n">
        <x:v>1600</x:v>
      </x:c>
      <x:c r="N26" s="80" t="n">
        <x:v>329</x:v>
      </x:c>
    </x:row>
    <x:row r="27">
      <x:c r="A27" s="80" t="n">
        <x:v>1</x:v>
      </x:c>
      <x:c r="B27" s="52" t="str">
        <x:v>PWH01</x:v>
      </x:c>
      <x:c r="C27" s="83" t="str">
        <x:v>WHISKAS POUCH Sabor Sardina 12 UND</x:v>
      </x:c>
      <x:c r="D27" s="83" t="str">
        <x:v>Alimento balanceado y nutrición</x:v>
      </x:c>
      <x:c r="E27" s="83" t="str">
        <x:v>Alimento húmedo</x:v>
      </x:c>
      <x:c r="F27" s="83" t="str">
        <x:v>Producto</x:v>
      </x:c>
      <x:c r="G27" s="83" t="str">
        <x:v>No</x:v>
      </x:c>
      <x:c r="H27" s="83" t="str"/>
      <x:c r="I27" s="81" t="n">
        <x:v>5</x:v>
      </x:c>
      <x:c r="J27" s="52" t="str">
        <x:v>100 Gr</x:v>
      </x:c>
      <x:c r="K27" s="82" t="n">
        <x:v>7360</x:v>
      </x:c>
      <x:c r="L27" s="82" t="n">
        <x:v>0</x:v>
      </x:c>
      <x:c r="M27" s="82" t="n">
        <x:v>7360</x:v>
      </x:c>
      <x:c r="N27" s="80" t="n">
        <x:v>330</x:v>
      </x:c>
    </x:row>
    <x:row r="28">
      <x:c r="A28" s="80" t="n">
        <x:v>1</x:v>
      </x:c>
      <x:c r="B28" s="52" t="str">
        <x:v>106</x:v>
      </x:c>
      <x:c r="C28" s="83" t="str">
        <x:v>First CONGELADO Perro Adulto X 3Kg</x:v>
      </x:c>
      <x:c r="D28" s="83" t="str">
        <x:v>Alimento balanceado y nutrición</x:v>
      </x:c>
      <x:c r="E28" s="83" t="str">
        <x:v>Alimento natural o congelado</x:v>
      </x:c>
      <x:c r="F28" s="83" t="str">
        <x:v>Producto</x:v>
      </x:c>
      <x:c r="G28" s="83" t="str">
        <x:v>No</x:v>
      </x:c>
      <x:c r="H28" s="83" t="str"/>
      <x:c r="I28" s="81" t="n">
        <x:v>1</x:v>
      </x:c>
      <x:c r="J28" s="52" t="str">
        <x:v>und</x:v>
      </x:c>
      <x:c r="K28" s="82" t="n">
        <x:v>42000</x:v>
      </x:c>
      <x:c r="L28" s="82" t="n">
        <x:v>0</x:v>
      </x:c>
      <x:c r="M28" s="82" t="n">
        <x:v>42000</x:v>
      </x:c>
      <x:c r="N28" s="80" t="n">
        <x:v>124</x:v>
      </x:c>
    </x:row>
    <x:row r="29">
      <x:c r="A29" s="80" t="n">
        <x:v>1</x:v>
      </x:c>
      <x:c r="B29" s="52" t="str">
        <x:v>207</x:v>
      </x:c>
      <x:c r="C29" s="83" t="str">
        <x:v>First CONGELADO Perro PUPPY X1Kg</x:v>
      </x:c>
      <x:c r="D29" s="83" t="str">
        <x:v>Alimento balanceado y nutrición</x:v>
      </x:c>
      <x:c r="E29" s="83" t="str">
        <x:v>Alimento natural o congelado</x:v>
      </x:c>
      <x:c r="F29" s="83" t="str">
        <x:v>Producto</x:v>
      </x:c>
      <x:c r="G29" s="83" t="str">
        <x:v>No</x:v>
      </x:c>
      <x:c r="H29" s="83" t="str"/>
      <x:c r="I29" s="81" t="n">
        <x:v>1</x:v>
      </x:c>
      <x:c r="J29" s="52" t="str">
        <x:v>und</x:v>
      </x:c>
      <x:c r="K29" s="82" t="n">
        <x:v>18000</x:v>
      </x:c>
      <x:c r="L29" s="82" t="n">
        <x:v>0</x:v>
      </x:c>
      <x:c r="M29" s="82" t="n">
        <x:v>18000</x:v>
      </x:c>
      <x:c r="N29" s="80" t="n">
        <x:v>125</x:v>
      </x:c>
    </x:row>
    <x:row r="30">
      <x:c r="A30" s="80" t="n">
        <x:v>1</x:v>
      </x:c>
      <x:c r="B30" s="52" t="str">
        <x:v>21704</x:v>
      </x:c>
      <x:c r="C30" s="83" t="str">
        <x:v>Balanced Gato Adulto x 2 kg</x:v>
      </x:c>
      <x:c r="D30" s="83" t="str">
        <x:v>Alimento balanceado y nutrición</x:v>
      </x:c>
      <x:c r="E30" s="83" t="str">
        <x:v>Alimento seco / balanceado</x:v>
      </x:c>
      <x:c r="F30" s="83" t="str">
        <x:v>Producto</x:v>
      </x:c>
      <x:c r="G30" s="83" t="str">
        <x:v>No</x:v>
      </x:c>
      <x:c r="H30" s="83" t="str"/>
      <x:c r="I30" s="81" t="n">
        <x:v>1</x:v>
      </x:c>
      <x:c r="J30" s="52" t="str">
        <x:v>2 Kg</x:v>
      </x:c>
      <x:c r="K30" s="82" t="n">
        <x:v>20400</x:v>
      </x:c>
      <x:c r="L30" s="82" t="n">
        <x:v>0</x:v>
      </x:c>
      <x:c r="M30" s="82" t="n">
        <x:v>20400</x:v>
      </x:c>
      <x:c r="N30" s="80" t="n">
        <x:v>23</x:v>
      </x:c>
    </x:row>
    <x:row r="31">
      <x:c r="A31" s="80" t="n">
        <x:v>1</x:v>
      </x:c>
      <x:c r="B31" s="52" t="str">
        <x:v>21707</x:v>
      </x:c>
      <x:c r="C31" s="83" t="str">
        <x:v>Balanced Gato Ctrl. Peso/Cstrdo. x 2 kg</x:v>
      </x:c>
      <x:c r="D31" s="83" t="str">
        <x:v>Alimento balanceado y nutrición</x:v>
      </x:c>
      <x:c r="E31" s="83" t="str">
        <x:v>Alimento seco / balanceado</x:v>
      </x:c>
      <x:c r="F31" s="83" t="str">
        <x:v>Producto</x:v>
      </x:c>
      <x:c r="G31" s="83" t="str">
        <x:v>No</x:v>
      </x:c>
      <x:c r="H31" s="83" t="str"/>
      <x:c r="I31" s="81" t="n">
        <x:v>1</x:v>
      </x:c>
      <x:c r="J31" s="52" t="str">
        <x:v>2 Kg</x:v>
      </x:c>
      <x:c r="K31" s="82" t="n">
        <x:v>23550</x:v>
      </x:c>
      <x:c r="L31" s="82" t="n">
        <x:v>0</x:v>
      </x:c>
      <x:c r="M31" s="82" t="n">
        <x:v>23550</x:v>
      </x:c>
      <x:c r="N31" s="80" t="n">
        <x:v>24</x:v>
      </x:c>
    </x:row>
    <x:row r="32">
      <x:c r="A32" s="80" t="n">
        <x:v>1</x:v>
      </x:c>
      <x:c r="B32" s="52" t="str">
        <x:v>11724</x:v>
      </x:c>
      <x:c r="C32" s="83" t="str">
        <x:v>Balanced Perro Adulto Raza Mediana x 3 kg</x:v>
      </x:c>
      <x:c r="D32" s="83" t="str">
        <x:v>Alimento balanceado y nutrición</x:v>
      </x:c>
      <x:c r="E32" s="83" t="str">
        <x:v>Alimento seco / balanceado</x:v>
      </x:c>
      <x:c r="F32" s="83" t="str">
        <x:v>Producto</x:v>
      </x:c>
      <x:c r="G32" s="83" t="str">
        <x:v>No</x:v>
      </x:c>
      <x:c r="H32" s="83" t="str"/>
      <x:c r="I32" s="81" t="n">
        <x:v>1</x:v>
      </x:c>
      <x:c r="J32" s="52" t="str">
        <x:v>3 Kg</x:v>
      </x:c>
      <x:c r="K32" s="82" t="n">
        <x:v>16750</x:v>
      </x:c>
      <x:c r="L32" s="82" t="n">
        <x:v>0</x:v>
      </x:c>
      <x:c r="M32" s="82" t="n">
        <x:v>16750</x:v>
      </x:c>
      <x:c r="N32" s="80" t="n">
        <x:v>25</x:v>
      </x:c>
    </x:row>
    <x:row r="33">
      <x:c r="A33" s="80" t="n">
        <x:v>1</x:v>
      </x:c>
      <x:c r="B33" s="52" t="str">
        <x:v>3846030</x:v>
      </x:c>
      <x:c r="C33" s="83" t="str">
        <x:v>Bulldog Francés Adulto 3 Kg</x:v>
      </x:c>
      <x:c r="D33" s="83" t="str">
        <x:v>Alimento balanceado y nutrición</x:v>
      </x:c>
      <x:c r="E33" s="83" t="str">
        <x:v>Alimento seco / balanceado</x:v>
      </x:c>
      <x:c r="F33" s="83" t="str">
        <x:v>Producto</x:v>
      </x:c>
      <x:c r="G33" s="83" t="str">
        <x:v>No</x:v>
      </x:c>
      <x:c r="H33" s="83" t="str"/>
      <x:c r="I33" s="81" t="n">
        <x:v>2</x:v>
      </x:c>
      <x:c r="J33" s="52" t="str">
        <x:v>Bolsa</x:v>
      </x:c>
      <x:c r="K33" s="82" t="n">
        <x:v>80990</x:v>
      </x:c>
      <x:c r="L33" s="82" t="n">
        <x:v>0</x:v>
      </x:c>
      <x:c r="M33" s="82" t="n">
        <x:v>80990</x:v>
      </x:c>
      <x:c r="N33" s="80" t="n">
        <x:v>42</x:v>
      </x:c>
    </x:row>
    <x:row r="34">
      <x:c r="A34" s="80" t="n">
        <x:v>1</x:v>
      </x:c>
      <x:c r="B34" s="52" t="str">
        <x:v>12508669S</x:v>
      </x:c>
      <x:c r="C34" s="83" t="str">
        <x:v>CAT CHOW ADULTOS SABOR PESCADO Y POLLO 1 Kg SUELTO</x:v>
      </x:c>
      <x:c r="D34" s="83" t="str">
        <x:v>Alimento balanceado y nutrición</x:v>
      </x:c>
      <x:c r="E34" s="83" t="str">
        <x:v>Alimento seco / balanceado</x:v>
      </x:c>
      <x:c r="F34" s="83" t="str">
        <x:v>Producto</x:v>
      </x:c>
      <x:c r="G34" s="83" t="str">
        <x:v>No</x:v>
      </x:c>
      <x:c r="H34" s="83" t="str"/>
      <x:c r="I34" s="81" t="n">
        <x:v>8</x:v>
      </x:c>
      <x:c r="J34" s="52" t="str">
        <x:v>Bolsa</x:v>
      </x:c>
      <x:c r="K34" s="82" t="n">
        <x:v>44175</x:v>
      </x:c>
      <x:c r="L34" s="82" t="n">
        <x:v>0</x:v>
      </x:c>
      <x:c r="M34" s="82" t="n">
        <x:v>44175</x:v>
      </x:c>
      <x:c r="N34" s="80" t="n">
        <x:v>48</x:v>
      </x:c>
    </x:row>
    <x:row r="35">
      <x:c r="A35" s="80" t="n">
        <x:v>1</x:v>
      </x:c>
      <x:c r="B35" s="52" t="str">
        <x:v>4224200S</x:v>
      </x:c>
      <x:c r="C35" s="83" t="str">
        <x:v>Club Performance Adulto 1 Kg SUELTO</x:v>
      </x:c>
      <x:c r="D35" s="83" t="str">
        <x:v>Alimento balanceado y nutrición</x:v>
      </x:c>
      <x:c r="E35" s="83" t="str">
        <x:v>Alimento seco / balanceado</x:v>
      </x:c>
      <x:c r="F35" s="83" t="str">
        <x:v>Producto</x:v>
      </x:c>
      <x:c r="G35" s="83" t="str">
        <x:v>No</x:v>
      </x:c>
      <x:c r="H35" s="83" t="str"/>
      <x:c r="I35" s="81" t="n">
        <x:v>6</x:v>
      </x:c>
      <x:c r="J35" s="52" t="str">
        <x:v>Bolsa</x:v>
      </x:c>
      <x:c r="K35" s="82" t="n">
        <x:v>36470</x:v>
      </x:c>
      <x:c r="L35" s="82" t="n">
        <x:v>0</x:v>
      </x:c>
      <x:c r="M35" s="82" t="n">
        <x:v>36470</x:v>
      </x:c>
      <x:c r="N35" s="80" t="n">
        <x:v>54</x:v>
      </x:c>
    </x:row>
    <x:row r="36">
      <x:c r="A36" s="80" t="n">
        <x:v>1</x:v>
      </x:c>
      <x:c r="B36" s="52" t="str">
        <x:v>4273075S</x:v>
      </x:c>
      <x:c r="C36" s="83" t="str">
        <x:v>Club Performance Cat 1 Kg SUELTO</x:v>
      </x:c>
      <x:c r="D36" s="83" t="str">
        <x:v>Alimento balanceado y nutrición</x:v>
      </x:c>
      <x:c r="E36" s="83" t="str">
        <x:v>Alimento seco / balanceado</x:v>
      </x:c>
      <x:c r="F36" s="83" t="str">
        <x:v>Producto</x:v>
      </x:c>
      <x:c r="G36" s="83" t="str">
        <x:v>No</x:v>
      </x:c>
      <x:c r="H36" s="83" t="str"/>
      <x:c r="I36" s="81" t="n">
        <x:v>6</x:v>
      </x:c>
      <x:c r="J36" s="52" t="str">
        <x:v>Bolsa</x:v>
      </x:c>
      <x:c r="K36" s="82" t="n">
        <x:v>59890</x:v>
      </x:c>
      <x:c r="L36" s="82" t="n">
        <x:v>0</x:v>
      </x:c>
      <x:c r="M36" s="82" t="n">
        <x:v>59890</x:v>
      </x:c>
      <x:c r="N36" s="80" t="n">
        <x:v>55</x:v>
      </x:c>
    </x:row>
    <x:row r="37">
      <x:c r="A37" s="80" t="n">
        <x:v>1</x:v>
      </x:c>
      <x:c r="B37" s="52" t="str">
        <x:v>4273015</x:v>
      </x:c>
      <x:c r="C37" s="83" t="str">
        <x:v>Club Performance Cat 1,5Kg</x:v>
      </x:c>
      <x:c r="D37" s="83" t="str">
        <x:v>Alimento balanceado y nutrición</x:v>
      </x:c>
      <x:c r="E37" s="83" t="str">
        <x:v>Alimento seco / balanceado</x:v>
      </x:c>
      <x:c r="F37" s="83" t="str">
        <x:v>Producto</x:v>
      </x:c>
      <x:c r="G37" s="83" t="str">
        <x:v>No</x:v>
      </x:c>
      <x:c r="H37" s="83" t="str"/>
      <x:c r="I37" s="81" t="n">
        <x:v>1</x:v>
      </x:c>
      <x:c r="J37" s="52" t="str">
        <x:v>Bolsa</x:v>
      </x:c>
      <x:c r="K37" s="82" t="n">
        <x:v>20200</x:v>
      </x:c>
      <x:c r="L37" s="82" t="n">
        <x:v>0</x:v>
      </x:c>
      <x:c r="M37" s="82" t="n">
        <x:v>20200</x:v>
      </x:c>
      <x:c r="N37" s="80" t="n">
        <x:v>56</x:v>
      </x:c>
    </x:row>
    <x:row r="38">
      <x:c r="A38" s="80" t="n">
        <x:v>1</x:v>
      </x:c>
      <x:c r="B38" s="52" t="str">
        <x:v>4273075SS</x:v>
      </x:c>
      <x:c r="C38" s="83" t="str">
        <x:v>Club Performance Cat 500 Gr SUELTO</x:v>
      </x:c>
      <x:c r="D38" s="83" t="str">
        <x:v>Alimento balanceado y nutrición</x:v>
      </x:c>
      <x:c r="E38" s="83" t="str">
        <x:v>Alimento seco / balanceado</x:v>
      </x:c>
      <x:c r="F38" s="83" t="str">
        <x:v>Producto</x:v>
      </x:c>
      <x:c r="G38" s="83" t="str">
        <x:v>No</x:v>
      </x:c>
      <x:c r="H38" s="83" t="str"/>
      <x:c r="I38" s="81" t="n">
        <x:v>2</x:v>
      </x:c>
      <x:c r="J38" s="52" t="str">
        <x:v>Bolsa</x:v>
      </x:c>
      <x:c r="K38" s="82" t="n">
        <x:v>10100</x:v>
      </x:c>
      <x:c r="L38" s="82" t="n">
        <x:v>0</x:v>
      </x:c>
      <x:c r="M38" s="82" t="n">
        <x:v>10100</x:v>
      </x:c>
      <x:c r="N38" s="80" t="n">
        <x:v>57</x:v>
      </x:c>
    </x:row>
    <x:row r="39">
      <x:c r="A39" s="80" t="n">
        <x:v>1</x:v>
      </x:c>
      <x:c r="B39" s="52" t="str">
        <x:v>4274015</x:v>
      </x:c>
      <x:c r="C39" s="83" t="str">
        <x:v>Club Performance Kitten 1,5Kg</x:v>
      </x:c>
      <x:c r="D39" s="83" t="str">
        <x:v>Alimento balanceado y nutrición</x:v>
      </x:c>
      <x:c r="E39" s="83" t="str">
        <x:v>Alimento seco / balanceado</x:v>
      </x:c>
      <x:c r="F39" s="83" t="str">
        <x:v>Producto</x:v>
      </x:c>
      <x:c r="G39" s="83" t="str">
        <x:v>No</x:v>
      </x:c>
      <x:c r="H39" s="83" t="str"/>
      <x:c r="I39" s="81" t="n">
        <x:v>1</x:v>
      </x:c>
      <x:c r="J39" s="52" t="str">
        <x:v>Bolsa</x:v>
      </x:c>
      <x:c r="K39" s="82" t="n">
        <x:v>21375</x:v>
      </x:c>
      <x:c r="L39" s="82" t="n">
        <x:v>0</x:v>
      </x:c>
      <x:c r="M39" s="82" t="n">
        <x:v>21375</x:v>
      </x:c>
      <x:c r="N39" s="80" t="n">
        <x:v>58</x:v>
      </x:c>
    </x:row>
    <x:row r="40">
      <x:c r="A40" s="80" t="n">
        <x:v>1</x:v>
      </x:c>
      <x:c r="B40" s="52" t="str">
        <x:v>3743030</x:v>
      </x:c>
      <x:c r="C40" s="83" t="str">
        <x:v>Dachshund 3Kg</x:v>
      </x:c>
      <x:c r="D40" s="83" t="str">
        <x:v>Alimento balanceado y nutrición</x:v>
      </x:c>
      <x:c r="E40" s="83" t="str">
        <x:v>Alimento seco / balanceado</x:v>
      </x:c>
      <x:c r="F40" s="83" t="str">
        <x:v>Producto</x:v>
      </x:c>
      <x:c r="G40" s="83" t="str">
        <x:v>No</x:v>
      </x:c>
      <x:c r="H40" s="83" t="str"/>
      <x:c r="I40" s="81" t="n">
        <x:v>1</x:v>
      </x:c>
      <x:c r="J40" s="52" t="str">
        <x:v>Bolsa</x:v>
      </x:c>
      <x:c r="K40" s="82" t="n">
        <x:v>41830</x:v>
      </x:c>
      <x:c r="L40" s="82" t="n">
        <x:v>0</x:v>
      </x:c>
      <x:c r="M40" s="82" t="n">
        <x:v>41830</x:v>
      </x:c>
      <x:c r="N40" s="80" t="n">
        <x:v>75</x:v>
      </x:c>
    </x:row>
    <x:row r="41">
      <x:c r="A41" s="80" t="n">
        <x:v>1</x:v>
      </x:c>
      <x:c r="B41" s="52" t="str">
        <x:v>7022150S</x:v>
      </x:c>
      <x:c r="C41" s="83" t="str">
        <x:v>EUK Adult Medium Breed 1 Kg SUELTO</x:v>
      </x:c>
      <x:c r="D41" s="83" t="str">
        <x:v>Alimento balanceado y nutrición</x:v>
      </x:c>
      <x:c r="E41" s="83" t="str">
        <x:v>Alimento seco / balanceado</x:v>
      </x:c>
      <x:c r="F41" s="83" t="str">
        <x:v>Producto</x:v>
      </x:c>
      <x:c r="G41" s="83" t="str">
        <x:v>No</x:v>
      </x:c>
      <x:c r="H41" s="83" t="str"/>
      <x:c r="I41" s="81" t="n">
        <x:v>3</x:v>
      </x:c>
      <x:c r="J41" s="52" t="str">
        <x:v>Bolsa</x:v>
      </x:c>
      <x:c r="K41" s="82" t="n">
        <x:v>17460</x:v>
      </x:c>
      <x:c r="L41" s="82" t="n">
        <x:v>0</x:v>
      </x:c>
      <x:c r="M41" s="82" t="n">
        <x:v>17460</x:v>
      </x:c>
      <x:c r="N41" s="80" t="n">
        <x:v>95</x:v>
      </x:c>
    </x:row>
    <x:row r="42">
      <x:c r="A42" s="80" t="n">
        <x:v>1</x:v>
      </x:c>
      <x:c r="B42" s="52" t="str">
        <x:v>7022150</x:v>
      </x:c>
      <x:c r="C42" s="83" t="str">
        <x:v>EUK Adult Medium Breed 15 Kg</x:v>
      </x:c>
      <x:c r="D42" s="83" t="str">
        <x:v>Alimento balanceado y nutrición</x:v>
      </x:c>
      <x:c r="E42" s="83" t="str">
        <x:v>Alimento seco / balanceado</x:v>
      </x:c>
      <x:c r="F42" s="83" t="str">
        <x:v>Producto</x:v>
      </x:c>
      <x:c r="G42" s="83" t="str">
        <x:v>No</x:v>
      </x:c>
      <x:c r="H42" s="83" t="str"/>
      <x:c r="I42" s="81" t="n">
        <x:v>1</x:v>
      </x:c>
      <x:c r="J42" s="52" t="str">
        <x:v>Bolsa</x:v>
      </x:c>
      <x:c r="K42" s="82" t="n">
        <x:v>84735</x:v>
      </x:c>
      <x:c r="L42" s="82" t="n">
        <x:v>0</x:v>
      </x:c>
      <x:c r="M42" s="82" t="n">
        <x:v>84735</x:v>
      </x:c>
      <x:c r="N42" s="80" t="n">
        <x:v>96</x:v>
      </x:c>
    </x:row>
    <x:row r="43">
      <x:c r="A43" s="80" t="n">
        <x:v>1</x:v>
      </x:c>
      <x:c r="B43" s="52" t="str">
        <x:v>7122030</x:v>
      </x:c>
      <x:c r="C43" s="83" t="str">
        <x:v>EUK Adult Medium Breed 3 Kg</x:v>
      </x:c>
      <x:c r="D43" s="83" t="str">
        <x:v>Alimento balanceado y nutrición</x:v>
      </x:c>
      <x:c r="E43" s="83" t="str">
        <x:v>Alimento seco / balanceado</x:v>
      </x:c>
      <x:c r="F43" s="83" t="str">
        <x:v>Producto</x:v>
      </x:c>
      <x:c r="G43" s="83" t="str">
        <x:v>No</x:v>
      </x:c>
      <x:c r="H43" s="83" t="str"/>
      <x:c r="I43" s="81" t="n">
        <x:v>3</x:v>
      </x:c>
      <x:c r="J43" s="52" t="str">
        <x:v>Bolsa</x:v>
      </x:c>
      <x:c r="K43" s="82" t="n">
        <x:v>73012.5</x:v>
      </x:c>
      <x:c r="L43" s="82" t="n">
        <x:v>0</x:v>
      </x:c>
      <x:c r="M43" s="82" t="n">
        <x:v>73012.5</x:v>
      </x:c>
      <x:c r="N43" s="80" t="n">
        <x:v>94</x:v>
      </x:c>
    </x:row>
    <x:row r="44">
      <x:c r="A44" s="80" t="n">
        <x:v>1</x:v>
      </x:c>
      <x:c r="B44" s="52" t="str">
        <x:v>7021150S</x:v>
      </x:c>
      <x:c r="C44" s="83" t="str">
        <x:v>EUK Adult Small Breed 1 Kg SUELTO</x:v>
      </x:c>
      <x:c r="D44" s="83" t="str">
        <x:v>Alimento balanceado y nutrición</x:v>
      </x:c>
      <x:c r="E44" s="83" t="str">
        <x:v>Alimento seco / balanceado</x:v>
      </x:c>
      <x:c r="F44" s="83" t="str">
        <x:v>Producto</x:v>
      </x:c>
      <x:c r="G44" s="83" t="str">
        <x:v>No</x:v>
      </x:c>
      <x:c r="H44" s="83" t="str"/>
      <x:c r="I44" s="81" t="n">
        <x:v>4</x:v>
      </x:c>
      <x:c r="J44" s="52" t="str">
        <x:v>Bolsa</x:v>
      </x:c>
      <x:c r="K44" s="82" t="n">
        <x:v>28000</x:v>
      </x:c>
      <x:c r="L44" s="82" t="n">
        <x:v>0</x:v>
      </x:c>
      <x:c r="M44" s="82" t="n">
        <x:v>28000</x:v>
      </x:c>
      <x:c r="N44" s="80" t="n">
        <x:v>97</x:v>
      </x:c>
    </x:row>
    <x:row r="45">
      <x:c r="A45" s="80" t="n">
        <x:v>1</x:v>
      </x:c>
      <x:c r="B45" s="52" t="str">
        <x:v>7021150</x:v>
      </x:c>
      <x:c r="C45" s="83" t="str">
        <x:v>EUK Adult Small Breed 15Kg</x:v>
      </x:c>
      <x:c r="D45" s="83" t="str">
        <x:v>Alimento balanceado y nutrición</x:v>
      </x:c>
      <x:c r="E45" s="83" t="str">
        <x:v>Alimento seco / balanceado</x:v>
      </x:c>
      <x:c r="F45" s="83" t="str">
        <x:v>Producto</x:v>
      </x:c>
      <x:c r="G45" s="83" t="str">
        <x:v>No</x:v>
      </x:c>
      <x:c r="H45" s="83" t="str"/>
      <x:c r="I45" s="81" t="n">
        <x:v>1</x:v>
      </x:c>
      <x:c r="J45" s="52" t="str">
        <x:v>Bolsa</x:v>
      </x:c>
      <x:c r="K45" s="82" t="n">
        <x:v>0</x:v>
      </x:c>
      <x:c r="L45" s="82" t="n">
        <x:v>0</x:v>
      </x:c>
      <x:c r="M45" s="82" t="n">
        <x:v>0</x:v>
      </x:c>
      <x:c r="N45" s="80" t="n">
        <x:v>98</x:v>
      </x:c>
    </x:row>
    <x:row r="46">
      <x:c r="A46" s="80" t="n">
        <x:v>1</x:v>
      </x:c>
      <x:c r="B46" s="52" t="str">
        <x:v>7021150SS</x:v>
      </x:c>
      <x:c r="C46" s="83" t="str">
        <x:v>EUK Adult Small Breed 500 Gr SUELTO</x:v>
      </x:c>
      <x:c r="D46" s="83" t="str">
        <x:v>Alimento balanceado y nutrición</x:v>
      </x:c>
      <x:c r="E46" s="83" t="str">
        <x:v>Alimento seco / balanceado</x:v>
      </x:c>
      <x:c r="F46" s="83" t="str">
        <x:v>Producto</x:v>
      </x:c>
      <x:c r="G46" s="83" t="str">
        <x:v>No</x:v>
      </x:c>
      <x:c r="H46" s="83" t="str"/>
      <x:c r="I46" s="81" t="n">
        <x:v>9</x:v>
      </x:c>
      <x:c r="J46" s="52" t="str">
        <x:v>Bolsa</x:v>
      </x:c>
      <x:c r="K46" s="82" t="n">
        <x:v>29150</x:v>
      </x:c>
      <x:c r="L46" s="82" t="n">
        <x:v>0</x:v>
      </x:c>
      <x:c r="M46" s="82" t="n">
        <x:v>29150</x:v>
      </x:c>
      <x:c r="N46" s="80" t="n">
        <x:v>99</x:v>
      </x:c>
    </x:row>
    <x:row r="47">
      <x:c r="A47" s="80" t="n">
        <x:v>1</x:v>
      </x:c>
      <x:c r="B47" s="52" t="str">
        <x:v>7222030</x:v>
      </x:c>
      <x:c r="C47" s="83" t="str">
        <x:v>EUK ADULTO LAMB 3 Kg</x:v>
      </x:c>
      <x:c r="D47" s="83" t="str">
        <x:v>Alimento balanceado y nutrición</x:v>
      </x:c>
      <x:c r="E47" s="83" t="str">
        <x:v>Alimento seco / balanceado</x:v>
      </x:c>
      <x:c r="F47" s="83" t="str">
        <x:v>Producto</x:v>
      </x:c>
      <x:c r="G47" s="83" t="str">
        <x:v>No</x:v>
      </x:c>
      <x:c r="H47" s="83" t="str"/>
      <x:c r="I47" s="81" t="n">
        <x:v>4</x:v>
      </x:c>
      <x:c r="J47" s="52" t="str">
        <x:v>Bolsa</x:v>
      </x:c>
      <x:c r="K47" s="82" t="n">
        <x:v>94334</x:v>
      </x:c>
      <x:c r="L47" s="82" t="n">
        <x:v>0</x:v>
      </x:c>
      <x:c r="M47" s="82" t="n">
        <x:v>94334</x:v>
      </x:c>
      <x:c r="N47" s="80" t="n">
        <x:v>100</x:v>
      </x:c>
    </x:row>
    <x:row r="48">
      <x:c r="A48" s="80" t="n">
        <x:v>1</x:v>
      </x:c>
      <x:c r="B48" s="52" t="str">
        <x:v>7341030</x:v>
      </x:c>
      <x:c r="C48" s="83" t="str">
        <x:v>EUK FIT BODY SMALL BREED 3 Kg</x:v>
      </x:c>
      <x:c r="D48" s="83" t="str">
        <x:v>Alimento balanceado y nutrición</x:v>
      </x:c>
      <x:c r="E48" s="83" t="str">
        <x:v>Alimento seco / balanceado</x:v>
      </x:c>
      <x:c r="F48" s="83" t="str">
        <x:v>Producto</x:v>
      </x:c>
      <x:c r="G48" s="83" t="str">
        <x:v>No</x:v>
      </x:c>
      <x:c r="H48" s="83" t="str"/>
      <x:c r="I48" s="81" t="n">
        <x:v>2</x:v>
      </x:c>
      <x:c r="J48" s="52" t="str">
        <x:v>Bolsa</x:v>
      </x:c>
      <x:c r="K48" s="82" t="n">
        <x:v>56620</x:v>
      </x:c>
      <x:c r="L48" s="82" t="n">
        <x:v>0</x:v>
      </x:c>
      <x:c r="M48" s="82" t="n">
        <x:v>56620</x:v>
      </x:c>
      <x:c r="N48" s="80" t="n">
        <x:v>101</x:v>
      </x:c>
    </x:row>
    <x:row r="49">
      <x:c r="A49" s="80" t="n">
        <x:v>1</x:v>
      </x:c>
      <x:c r="B49" s="52" t="str">
        <x:v>50010149</x:v>
      </x:c>
      <x:c r="C49" s="83" t="str">
        <x:v>EUK Gato Adulto Top Condition 1,5 Kg</x:v>
      </x:c>
      <x:c r="D49" s="83" t="str">
        <x:v>Alimento balanceado y nutrición</x:v>
      </x:c>
      <x:c r="E49" s="83" t="str">
        <x:v>Alimento seco / balanceado</x:v>
      </x:c>
      <x:c r="F49" s="83" t="str">
        <x:v>Producto</x:v>
      </x:c>
      <x:c r="G49" s="83" t="str">
        <x:v>No</x:v>
      </x:c>
      <x:c r="H49" s="83" t="str"/>
      <x:c r="I49" s="81" t="n">
        <x:v>2</x:v>
      </x:c>
      <x:c r="J49" s="52" t="str">
        <x:v>Bolsa</x:v>
      </x:c>
      <x:c r="K49" s="82" t="n">
        <x:v>35080</x:v>
      </x:c>
      <x:c r="L49" s="82" t="n">
        <x:v>0</x:v>
      </x:c>
      <x:c r="M49" s="82" t="n">
        <x:v>35080</x:v>
      </x:c>
      <x:c r="N49" s="80" t="n">
        <x:v>102</x:v>
      </x:c>
    </x:row>
    <x:row r="50">
      <x:c r="A50" s="80" t="n">
        <x:v>1</x:v>
      </x:c>
      <x:c r="B50" s="52" t="str">
        <x:v>50010213</x:v>
      </x:c>
      <x:c r="C50" s="83" t="str">
        <x:v>EUK Gato Adulto Top Condition 7,5 Kg</x:v>
      </x:c>
      <x:c r="D50" s="83" t="str">
        <x:v>Alimento balanceado y nutrición</x:v>
      </x:c>
      <x:c r="E50" s="83" t="str">
        <x:v>Alimento seco / balanceado</x:v>
      </x:c>
      <x:c r="F50" s="83" t="str">
        <x:v>Producto</x:v>
      </x:c>
      <x:c r="G50" s="83" t="str">
        <x:v>No</x:v>
      </x:c>
      <x:c r="H50" s="83" t="str"/>
      <x:c r="I50" s="81" t="n">
        <x:v>1</x:v>
      </x:c>
      <x:c r="J50" s="52" t="str">
        <x:v>Bolsa</x:v>
      </x:c>
      <x:c r="K50" s="82" t="n">
        <x:v>71984</x:v>
      </x:c>
      <x:c r="L50" s="82" t="n">
        <x:v>0</x:v>
      </x:c>
      <x:c r="M50" s="82" t="n">
        <x:v>71984</x:v>
      </x:c>
      <x:c r="N50" s="80" t="n">
        <x:v>103</x:v>
      </x:c>
    </x:row>
    <x:row r="51">
      <x:c r="A51" s="80" t="n">
        <x:v>1</x:v>
      </x:c>
      <x:c r="B51" s="52" t="str">
        <x:v>50010143</x:v>
      </x:c>
      <x:c r="C51" s="83" t="str">
        <x:v>Euk Kitten Healthy Start 1 Kg</x:v>
      </x:c>
      <x:c r="D51" s="83" t="str">
        <x:v>Alimento balanceado y nutrición</x:v>
      </x:c>
      <x:c r="E51" s="83" t="str">
        <x:v>Alimento seco / balanceado</x:v>
      </x:c>
      <x:c r="F51" s="83" t="str">
        <x:v>Producto</x:v>
      </x:c>
      <x:c r="G51" s="83" t="str">
        <x:v>No</x:v>
      </x:c>
      <x:c r="H51" s="83" t="str"/>
      <x:c r="I51" s="81" t="n">
        <x:v>1</x:v>
      </x:c>
      <x:c r="J51" s="52" t="str">
        <x:v>Bolsa</x:v>
      </x:c>
      <x:c r="K51" s="82" t="n">
        <x:v>13500</x:v>
      </x:c>
      <x:c r="L51" s="82" t="n">
        <x:v>0</x:v>
      </x:c>
      <x:c r="M51" s="82" t="n">
        <x:v>13500</x:v>
      </x:c>
      <x:c r="N51" s="80" t="n">
        <x:v>104</x:v>
      </x:c>
    </x:row>
    <x:row r="52">
      <x:c r="A52" s="80" t="n">
        <x:v>1</x:v>
      </x:c>
      <x:c r="B52" s="52" t="str">
        <x:v>7312030</x:v>
      </x:c>
      <x:c r="C52" s="83" t="str">
        <x:v>EUK PUPPY LAMB 3Kg</x:v>
      </x:c>
      <x:c r="D52" s="83" t="str">
        <x:v>Alimento balanceado y nutrición</x:v>
      </x:c>
      <x:c r="E52" s="83" t="str">
        <x:v>Alimento seco / balanceado</x:v>
      </x:c>
      <x:c r="F52" s="83" t="str">
        <x:v>Producto</x:v>
      </x:c>
      <x:c r="G52" s="83" t="str">
        <x:v>No</x:v>
      </x:c>
      <x:c r="H52" s="83" t="str"/>
      <x:c r="I52" s="81" t="n">
        <x:v>1</x:v>
      </x:c>
      <x:c r="J52" s="52" t="str">
        <x:v>Bolsa</x:v>
      </x:c>
      <x:c r="K52" s="82" t="n">
        <x:v>24120</x:v>
      </x:c>
      <x:c r="L52" s="82" t="n">
        <x:v>0</x:v>
      </x:c>
      <x:c r="M52" s="82" t="n">
        <x:v>24120</x:v>
      </x:c>
      <x:c r="N52" s="80" t="n">
        <x:v>105</x:v>
      </x:c>
    </x:row>
    <x:row r="53">
      <x:c r="A53" s="80" t="n">
        <x:v>1</x:v>
      </x:c>
      <x:c r="B53" s="52" t="str">
        <x:v>7033030</x:v>
      </x:c>
      <x:c r="C53" s="83" t="str">
        <x:v>EUK Senior Large Breed 3 Kg</x:v>
      </x:c>
      <x:c r="D53" s="83" t="str">
        <x:v>Alimento balanceado y nutrición</x:v>
      </x:c>
      <x:c r="E53" s="83" t="str">
        <x:v>Alimento seco / balanceado</x:v>
      </x:c>
      <x:c r="F53" s="83" t="str">
        <x:v>Producto</x:v>
      </x:c>
      <x:c r="G53" s="83" t="str">
        <x:v>No</x:v>
      </x:c>
      <x:c r="H53" s="83" t="str"/>
      <x:c r="I53" s="81" t="n">
        <x:v>1</x:v>
      </x:c>
      <x:c r="J53" s="52" t="str">
        <x:v>Bolsa</x:v>
      </x:c>
      <x:c r="K53" s="82" t="n">
        <x:v>0</x:v>
      </x:c>
      <x:c r="L53" s="82" t="n">
        <x:v>0</x:v>
      </x:c>
      <x:c r="M53" s="82" t="n">
        <x:v>0</x:v>
      </x:c>
      <x:c r="N53" s="80" t="n">
        <x:v>106</x:v>
      </x:c>
    </x:row>
    <x:row r="54">
      <x:c r="A54" s="80" t="n">
        <x:v>1</x:v>
      </x:c>
      <x:c r="B54" s="52" t="str">
        <x:v>7131030</x:v>
      </x:c>
      <x:c r="C54" s="83" t="str">
        <x:v>EUK Senior Small Breed 3 Kg</x:v>
      </x:c>
      <x:c r="D54" s="83" t="str">
        <x:v>Alimento balanceado y nutrición</x:v>
      </x:c>
      <x:c r="E54" s="83" t="str">
        <x:v>Alimento seco / balanceado</x:v>
      </x:c>
      <x:c r="F54" s="83" t="str">
        <x:v>Producto</x:v>
      </x:c>
      <x:c r="G54" s="83" t="str">
        <x:v>No</x:v>
      </x:c>
      <x:c r="H54" s="83" t="str"/>
      <x:c r="I54" s="81" t="n">
        <x:v>1</x:v>
      </x:c>
      <x:c r="J54" s="52" t="str">
        <x:v>Bolsa</x:v>
      </x:c>
      <x:c r="K54" s="82" t="n">
        <x:v>26850</x:v>
      </x:c>
      <x:c r="L54" s="82" t="n">
        <x:v>0</x:v>
      </x:c>
      <x:c r="M54" s="82" t="n">
        <x:v>26850</x:v>
      </x:c>
      <x:c r="N54" s="80" t="n">
        <x:v>107</x:v>
      </x:c>
    </x:row>
    <x:row r="55">
      <x:c r="A55" s="80" t="n">
        <x:v>1</x:v>
      </x:c>
      <x:c r="B55" s="52" t="str">
        <x:v>12570707</x:v>
      </x:c>
      <x:c r="C55" s="83" t="str">
        <x:v>EXCELLENT ADULT CAT con Pollo y Arroz 1 Kg</x:v>
      </x:c>
      <x:c r="D55" s="83" t="str">
        <x:v>Alimento balanceado y nutrición</x:v>
      </x:c>
      <x:c r="E55" s="83" t="str">
        <x:v>Alimento seco / balanceado</x:v>
      </x:c>
      <x:c r="F55" s="83" t="str">
        <x:v>Producto</x:v>
      </x:c>
      <x:c r="G55" s="83" t="str">
        <x:v>No</x:v>
      </x:c>
      <x:c r="H55" s="83" t="str"/>
      <x:c r="I55" s="81" t="n">
        <x:v>1</x:v>
      </x:c>
      <x:c r="J55" s="52" t="str">
        <x:v>1 Kg</x:v>
      </x:c>
      <x:c r="K55" s="82" t="n">
        <x:v>10530</x:v>
      </x:c>
      <x:c r="L55" s="82" t="n">
        <x:v>0</x:v>
      </x:c>
      <x:c r="M55" s="82" t="n">
        <x:v>10530</x:v>
      </x:c>
      <x:c r="N55" s="80" t="n">
        <x:v>109</x:v>
      </x:c>
    </x:row>
    <x:row r="56">
      <x:c r="A56" s="80" t="n">
        <x:v>1</x:v>
      </x:c>
      <x:c r="B56" s="52" t="str">
        <x:v>12393466S</x:v>
      </x:c>
      <x:c r="C56" s="83" t="str">
        <x:v>EXCELLENT ADULT CAT con Pollo y Arroz 1 Kg SUELTO</x:v>
      </x:c>
      <x:c r="D56" s="83" t="str">
        <x:v>Alimento balanceado y nutrición</x:v>
      </x:c>
      <x:c r="E56" s="83" t="str">
        <x:v>Alimento seco / balanceado</x:v>
      </x:c>
      <x:c r="F56" s="83" t="str">
        <x:v>Producto</x:v>
      </x:c>
      <x:c r="G56" s="83" t="str">
        <x:v>No</x:v>
      </x:c>
      <x:c r="H56" s="83" t="str"/>
      <x:c r="I56" s="81" t="n">
        <x:v>25</x:v>
      </x:c>
      <x:c r="J56" s="52" t="str">
        <x:v>Bolsa</x:v>
      </x:c>
      <x:c r="K56" s="82" t="n">
        <x:v>213180</x:v>
      </x:c>
      <x:c r="L56" s="82" t="n">
        <x:v>0</x:v>
      </x:c>
      <x:c r="M56" s="82" t="n">
        <x:v>213180</x:v>
      </x:c>
      <x:c r="N56" s="80" t="n">
        <x:v>110</x:v>
      </x:c>
    </x:row>
    <x:row r="57">
      <x:c r="A57" s="80" t="n">
        <x:v>1</x:v>
      </x:c>
      <x:c r="B57" s="52" t="str">
        <x:v>12393466SS</x:v>
      </x:c>
      <x:c r="C57" s="83" t="str">
        <x:v>EXCELLENT ADULT CAT con Pollo y Arroz 500 Gr SUELTO</x:v>
      </x:c>
      <x:c r="D57" s="83" t="str">
        <x:v>Alimento balanceado y nutrición</x:v>
      </x:c>
      <x:c r="E57" s="83" t="str">
        <x:v>Alimento seco / balanceado</x:v>
      </x:c>
      <x:c r="F57" s="83" t="str">
        <x:v>Producto</x:v>
      </x:c>
      <x:c r="G57" s="83" t="str">
        <x:v>No</x:v>
      </x:c>
      <x:c r="H57" s="83" t="str"/>
      <x:c r="I57" s="81" t="n">
        <x:v>18</x:v>
      </x:c>
      <x:c r="J57" s="52" t="str">
        <x:v>Bolsa</x:v>
      </x:c>
      <x:c r="K57" s="82" t="n">
        <x:v>78042.5</x:v>
      </x:c>
      <x:c r="L57" s="82" t="n">
        <x:v>0</x:v>
      </x:c>
      <x:c r="M57" s="82" t="n">
        <x:v>78042.5</x:v>
      </x:c>
      <x:c r="N57" s="80" t="n">
        <x:v>111</x:v>
      </x:c>
    </x:row>
    <x:row r="58">
      <x:c r="A58" s="80" t="n">
        <x:v>1</x:v>
      </x:c>
      <x:c r="B58" s="52" t="str">
        <x:v>12570698</x:v>
      </x:c>
      <x:c r="C58" s="83" t="str">
        <x:v>EXCELLENT ADULT CAT con Pollo y Arroz 7,5 Kg</x:v>
      </x:c>
      <x:c r="D58" s="83" t="str">
        <x:v>Alimento balanceado y nutrición</x:v>
      </x:c>
      <x:c r="E58" s="83" t="str">
        <x:v>Alimento seco / balanceado</x:v>
      </x:c>
      <x:c r="F58" s="83" t="str">
        <x:v>Producto</x:v>
      </x:c>
      <x:c r="G58" s="83" t="str">
        <x:v>No</x:v>
      </x:c>
      <x:c r="H58" s="83" t="str"/>
      <x:c r="I58" s="81" t="n">
        <x:v>1</x:v>
      </x:c>
      <x:c r="J58" s="52" t="str">
        <x:v>7,5 Kg</x:v>
      </x:c>
      <x:c r="K58" s="82" t="n">
        <x:v>69000</x:v>
      </x:c>
      <x:c r="L58" s="82" t="n">
        <x:v>0</x:v>
      </x:c>
      <x:c r="M58" s="82" t="n">
        <x:v>69000</x:v>
      </x:c>
      <x:c r="N58" s="80" t="n">
        <x:v>112</x:v>
      </x:c>
    </x:row>
    <x:row r="59">
      <x:c r="A59" s="80" t="n">
        <x:v>1</x:v>
      </x:c>
      <x:c r="B59" s="52" t="str">
        <x:v>12395527S</x:v>
      </x:c>
      <x:c r="C59" s="83" t="str">
        <x:v>EXCELLENT ADULT DOG Razas Medianas y Grandes 1 Kg SUELTO</x:v>
      </x:c>
      <x:c r="D59" s="83" t="str">
        <x:v>Alimento balanceado y nutrición</x:v>
      </x:c>
      <x:c r="E59" s="83" t="str">
        <x:v>Alimento seco / balanceado</x:v>
      </x:c>
      <x:c r="F59" s="83" t="str">
        <x:v>Producto</x:v>
      </x:c>
      <x:c r="G59" s="83" t="str">
        <x:v>No</x:v>
      </x:c>
      <x:c r="H59" s="83" t="str"/>
      <x:c r="I59" s="81" t="n">
        <x:v>6</x:v>
      </x:c>
      <x:c r="J59" s="52" t="str">
        <x:v>Bolsa</x:v>
      </x:c>
      <x:c r="K59" s="82" t="n">
        <x:v>30000</x:v>
      </x:c>
      <x:c r="L59" s="82" t="n">
        <x:v>0</x:v>
      </x:c>
      <x:c r="M59" s="82" t="n">
        <x:v>30000</x:v>
      </x:c>
      <x:c r="N59" s="80" t="n">
        <x:v>113</x:v>
      </x:c>
    </x:row>
    <x:row r="60">
      <x:c r="A60" s="80" t="n">
        <x:v>1</x:v>
      </x:c>
      <x:c r="B60" s="52" t="str"/>
      <x:c r="C60" s="83" t="str">
        <x:v>EXCELLENT ADULT STERILIZED CHICKEN 1 KG</x:v>
      </x:c>
      <x:c r="D60" s="83" t="str">
        <x:v>Alimento balanceado y nutrición</x:v>
      </x:c>
      <x:c r="E60" s="83" t="str">
        <x:v>Alimento seco / balanceado</x:v>
      </x:c>
      <x:c r="F60" s="83" t="str">
        <x:v>Producto</x:v>
      </x:c>
      <x:c r="G60" s="83" t="str">
        <x:v>No</x:v>
      </x:c>
      <x:c r="H60" s="83" t="str"/>
      <x:c r="I60" s="81" t="n">
        <x:v>2</x:v>
      </x:c>
      <x:c r="J60" s="52" t="str">
        <x:v>1 KG</x:v>
      </x:c>
      <x:c r="K60" s="82" t="n">
        <x:v>25130</x:v>
      </x:c>
      <x:c r="L60" s="82" t="n">
        <x:v>0</x:v>
      </x:c>
      <x:c r="M60" s="82" t="n">
        <x:v>25130</x:v>
      </x:c>
      <x:c r="N60" s="80" t="n">
        <x:v>114</x:v>
      </x:c>
    </x:row>
    <x:row r="61">
      <x:c r="A61" s="80" t="n">
        <x:v>1</x:v>
      </x:c>
      <x:c r="B61" s="52" t="str">
        <x:v>3603150S</x:v>
      </x:c>
      <x:c r="C61" s="83" t="str">
        <x:v>Fit 1 Kg SUELTO</x:v>
      </x:c>
      <x:c r="D61" s="83" t="str">
        <x:v>Alimento balanceado y nutrición</x:v>
      </x:c>
      <x:c r="E61" s="83" t="str">
        <x:v>Alimento seco / balanceado</x:v>
      </x:c>
      <x:c r="F61" s="83" t="str">
        <x:v>Producto</x:v>
      </x:c>
      <x:c r="G61" s="83" t="str">
        <x:v>No</x:v>
      </x:c>
      <x:c r="H61" s="83" t="str"/>
      <x:c r="I61" s="81" t="n">
        <x:v>6</x:v>
      </x:c>
      <x:c r="J61" s="52" t="str">
        <x:v>Bolsa</x:v>
      </x:c>
      <x:c r="K61" s="82" t="n">
        <x:v>85588.5</x:v>
      </x:c>
      <x:c r="L61" s="82" t="n">
        <x:v>0</x:v>
      </x:c>
      <x:c r="M61" s="82" t="n">
        <x:v>85588.5</x:v>
      </x:c>
      <x:c r="N61" s="80" t="n">
        <x:v>126</x:v>
      </x:c>
    </x:row>
    <x:row r="62">
      <x:c r="A62" s="80" t="n">
        <x:v>1</x:v>
      </x:c>
      <x:c r="B62" s="52" t="str">
        <x:v>3603015</x:v>
      </x:c>
      <x:c r="C62" s="83" t="str">
        <x:v>Fit 1,5 Kg</x:v>
      </x:c>
      <x:c r="D62" s="83" t="str">
        <x:v>Alimento balanceado y nutrición</x:v>
      </x:c>
      <x:c r="E62" s="83" t="str">
        <x:v>Alimento seco / balanceado</x:v>
      </x:c>
      <x:c r="F62" s="83" t="str">
        <x:v>Producto</x:v>
      </x:c>
      <x:c r="G62" s="83" t="str">
        <x:v>No</x:v>
      </x:c>
      <x:c r="H62" s="83" t="str"/>
      <x:c r="I62" s="81" t="n">
        <x:v>1</x:v>
      </x:c>
      <x:c r="J62" s="52" t="str">
        <x:v>Bolsa</x:v>
      </x:c>
      <x:c r="K62" s="82" t="n">
        <x:v>32600</x:v>
      </x:c>
      <x:c r="L62" s="82" t="n">
        <x:v>0</x:v>
      </x:c>
      <x:c r="M62" s="82" t="n">
        <x:v>32600</x:v>
      </x:c>
      <x:c r="N62" s="80" t="n">
        <x:v>127</x:v>
      </x:c>
    </x:row>
    <x:row r="63">
      <x:c r="A63" s="80" t="n">
        <x:v>1</x:v>
      </x:c>
      <x:c r="B63" s="52" t="str">
        <x:v>3603150SS</x:v>
      </x:c>
      <x:c r="C63" s="83" t="str">
        <x:v>Fit 500 Gr SUELTO</x:v>
      </x:c>
      <x:c r="D63" s="83" t="str">
        <x:v>Alimento balanceado y nutrición</x:v>
      </x:c>
      <x:c r="E63" s="83" t="str">
        <x:v>Alimento seco / balanceado</x:v>
      </x:c>
      <x:c r="F63" s="83" t="str">
        <x:v>Producto</x:v>
      </x:c>
      <x:c r="G63" s="83" t="str">
        <x:v>No</x:v>
      </x:c>
      <x:c r="H63" s="83" t="str"/>
      <x:c r="I63" s="81" t="n">
        <x:v>15</x:v>
      </x:c>
      <x:c r="J63" s="52" t="str">
        <x:v>Bolsa</x:v>
      </x:c>
      <x:c r="K63" s="82" t="n">
        <x:v>105928.5</x:v>
      </x:c>
      <x:c r="L63" s="82" t="n">
        <x:v>0</x:v>
      </x:c>
      <x:c r="M63" s="82" t="n">
        <x:v>105928.5</x:v>
      </x:c>
      <x:c r="N63" s="80" t="n">
        <x:v>128</x:v>
      </x:c>
    </x:row>
    <x:row r="64">
      <x:c r="A64" s="80" t="n">
        <x:v>1</x:v>
      </x:c>
      <x:c r="B64" s="52" t="str">
        <x:v>2721120S</x:v>
      </x:c>
      <x:c r="C64" s="83" t="str">
        <x:v>Gatos Castrados-Weight Control 1 Kg SUELTO</x:v>
      </x:c>
      <x:c r="D64" s="83" t="str">
        <x:v>Alimento balanceado y nutrición</x:v>
      </x:c>
      <x:c r="E64" s="83" t="str">
        <x:v>Alimento seco / balanceado</x:v>
      </x:c>
      <x:c r="F64" s="83" t="str">
        <x:v>Producto</x:v>
      </x:c>
      <x:c r="G64" s="83" t="str">
        <x:v>No</x:v>
      </x:c>
      <x:c r="H64" s="83" t="str"/>
      <x:c r="I64" s="81" t="n">
        <x:v>1</x:v>
      </x:c>
      <x:c r="J64" s="52" t="str">
        <x:v>Bolsa</x:v>
      </x:c>
      <x:c r="K64" s="82" t="n">
        <x:v>16550</x:v>
      </x:c>
      <x:c r="L64" s="82" t="n">
        <x:v>0</x:v>
      </x:c>
      <x:c r="M64" s="82" t="n">
        <x:v>16550</x:v>
      </x:c>
      <x:c r="N64" s="80" t="n">
        <x:v>140</x:v>
      </x:c>
    </x:row>
    <x:row r="65">
      <x:c r="A65" s="80" t="n">
        <x:v>1</x:v>
      </x:c>
      <x:c r="B65" s="52" t="str">
        <x:v>2721015</x:v>
      </x:c>
      <x:c r="C65" s="83" t="str">
        <x:v>Gatos Castrados-Weight Control 1,5 Kg</x:v>
      </x:c>
      <x:c r="D65" s="83" t="str">
        <x:v>Alimento balanceado y nutrición</x:v>
      </x:c>
      <x:c r="E65" s="83" t="str">
        <x:v>Alimento seco / balanceado</x:v>
      </x:c>
      <x:c r="F65" s="83" t="str">
        <x:v>Producto</x:v>
      </x:c>
      <x:c r="G65" s="83" t="str">
        <x:v>No</x:v>
      </x:c>
      <x:c r="H65" s="83" t="str"/>
      <x:c r="I65" s="81" t="n">
        <x:v>2</x:v>
      </x:c>
      <x:c r="J65" s="52" t="str">
        <x:v>Bolsa</x:v>
      </x:c>
      <x:c r="K65" s="82" t="n">
        <x:v>66405</x:v>
      </x:c>
      <x:c r="L65" s="82" t="n">
        <x:v>0</x:v>
      </x:c>
      <x:c r="M65" s="82" t="n">
        <x:v>66405</x:v>
      </x:c>
      <x:c r="N65" s="80" t="n">
        <x:v>141</x:v>
      </x:c>
    </x:row>
    <x:row r="66">
      <x:c r="A66" s="80" t="n">
        <x:v>1</x:v>
      </x:c>
      <x:c r="B66" s="52" t="str">
        <x:v>2721120SS</x:v>
      </x:c>
      <x:c r="C66" s="83" t="str">
        <x:v>Gatos Castrados-Weight Control 500 Gr Kg SUELTO</x:v>
      </x:c>
      <x:c r="D66" s="83" t="str">
        <x:v>Alimento balanceado y nutrición</x:v>
      </x:c>
      <x:c r="E66" s="83" t="str">
        <x:v>Alimento seco / balanceado</x:v>
      </x:c>
      <x:c r="F66" s="83" t="str">
        <x:v>Producto</x:v>
      </x:c>
      <x:c r="G66" s="83" t="str">
        <x:v>No</x:v>
      </x:c>
      <x:c r="H66" s="83" t="str"/>
      <x:c r="I66" s="81" t="n">
        <x:v>18</x:v>
      </x:c>
      <x:c r="J66" s="52" t="str">
        <x:v>Bolsa</x:v>
      </x:c>
      <x:c r="K66" s="82" t="n">
        <x:v>139815</x:v>
      </x:c>
      <x:c r="L66" s="82" t="n">
        <x:v>0</x:v>
      </x:c>
      <x:c r="M66" s="82" t="n">
        <x:v>139815</x:v>
      </x:c>
      <x:c r="N66" s="80" t="n">
        <x:v>142</x:v>
      </x:c>
    </x:row>
    <x:row r="67">
      <x:c r="A67" s="80" t="n">
        <x:v>1</x:v>
      </x:c>
      <x:c r="B67" s="52" t="str">
        <x:v>3613015</x:v>
      </x:c>
      <x:c r="C67" s="83" t="str">
        <x:v>Indoor</x:v>
      </x:c>
      <x:c r="D67" s="83" t="str">
        <x:v>Alimento balanceado y nutrición</x:v>
      </x:c>
      <x:c r="E67" s="83" t="str">
        <x:v>Alimento seco / balanceado</x:v>
      </x:c>
      <x:c r="F67" s="83" t="str">
        <x:v>Producto</x:v>
      </x:c>
      <x:c r="G67" s="83" t="str">
        <x:v>No</x:v>
      </x:c>
      <x:c r="H67" s="83" t="str"/>
      <x:c r="I67" s="81" t="n">
        <x:v>3</x:v>
      </x:c>
      <x:c r="J67" s="52" t="str">
        <x:v>Bolsa</x:v>
      </x:c>
      <x:c r="K67" s="82" t="n">
        <x:v>99657</x:v>
      </x:c>
      <x:c r="L67" s="82" t="n">
        <x:v>0</x:v>
      </x:c>
      <x:c r="M67" s="82" t="n">
        <x:v>99657</x:v>
      </x:c>
      <x:c r="N67" s="80" t="n">
        <x:v>151</x:v>
      </x:c>
    </x:row>
    <x:row r="68">
      <x:c r="A68" s="80" t="n">
        <x:v>1</x:v>
      </x:c>
      <x:c r="B68" s="52" t="str">
        <x:v>3623015</x:v>
      </x:c>
      <x:c r="C68" s="83" t="str">
        <x:v>Indoor longhair 1,5 Kg</x:v>
      </x:c>
      <x:c r="D68" s="83" t="str">
        <x:v>Alimento balanceado y nutrición</x:v>
      </x:c>
      <x:c r="E68" s="83" t="str">
        <x:v>Alimento seco / balanceado</x:v>
      </x:c>
      <x:c r="F68" s="83" t="str">
        <x:v>Producto</x:v>
      </x:c>
      <x:c r="G68" s="83" t="str">
        <x:v>No</x:v>
      </x:c>
      <x:c r="H68" s="83" t="str"/>
      <x:c r="I68" s="81" t="n">
        <x:v>1</x:v>
      </x:c>
      <x:c r="J68" s="52" t="str">
        <x:v>1,5 Kg</x:v>
      </x:c>
      <x:c r="K68" s="82" t="n">
        <x:v>20790</x:v>
      </x:c>
      <x:c r="L68" s="82" t="n">
        <x:v>0</x:v>
      </x:c>
      <x:c r="M68" s="82" t="n">
        <x:v>20790</x:v>
      </x:c>
      <x:c r="N68" s="80" t="n">
        <x:v>152</x:v>
      </x:c>
    </x:row>
    <x:row r="69">
      <x:c r="A69" s="80" t="n">
        <x:v>1</x:v>
      </x:c>
      <x:c r="B69" s="52" t="str">
        <x:v>2522015</x:v>
      </x:c>
      <x:c r="C69" s="83" t="str">
        <x:v>Kitten 1,5Kg</x:v>
      </x:c>
      <x:c r="D69" s="83" t="str">
        <x:v>Alimento balanceado y nutrición</x:v>
      </x:c>
      <x:c r="E69" s="83" t="str">
        <x:v>Alimento seco / balanceado</x:v>
      </x:c>
      <x:c r="F69" s="83" t="str">
        <x:v>Producto</x:v>
      </x:c>
      <x:c r="G69" s="83" t="str">
        <x:v>No</x:v>
      </x:c>
      <x:c r="H69" s="83" t="str"/>
      <x:c r="I69" s="81" t="n">
        <x:v>3</x:v>
      </x:c>
      <x:c r="J69" s="52" t="str">
        <x:v>Bolsa</x:v>
      </x:c>
      <x:c r="K69" s="82" t="n">
        <x:v>105412.5</x:v>
      </x:c>
      <x:c r="L69" s="82" t="n">
        <x:v>0</x:v>
      </x:c>
      <x:c r="M69" s="82" t="n">
        <x:v>105412.5</x:v>
      </x:c>
      <x:c r="N69" s="80" t="n">
        <x:v>159</x:v>
      </x:c>
    </x:row>
    <x:row r="70">
      <x:c r="A70" s="80" t="n">
        <x:v>1</x:v>
      </x:c>
      <x:c r="B70" s="52" t="str">
        <x:v>2631030</x:v>
      </x:c>
      <x:c r="C70" s="83" t="str">
        <x:v>Medium Adult 3Kg</x:v>
      </x:c>
      <x:c r="D70" s="83" t="str">
        <x:v>Alimento balanceado y nutrición</x:v>
      </x:c>
      <x:c r="E70" s="83" t="str">
        <x:v>Alimento seco / balanceado</x:v>
      </x:c>
      <x:c r="F70" s="83" t="str">
        <x:v>Producto</x:v>
      </x:c>
      <x:c r="G70" s="83" t="str">
        <x:v>No</x:v>
      </x:c>
      <x:c r="H70" s="83" t="str"/>
      <x:c r="I70" s="81" t="n">
        <x:v>2</x:v>
      </x:c>
      <x:c r="J70" s="52" t="str">
        <x:v>Bolsa</x:v>
      </x:c>
      <x:c r="K70" s="82" t="n">
        <x:v>77692</x:v>
      </x:c>
      <x:c r="L70" s="82" t="n">
        <x:v>0</x:v>
      </x:c>
      <x:c r="M70" s="82" t="n">
        <x:v>77692</x:v>
      </x:c>
      <x:c r="N70" s="80" t="n">
        <x:v>170</x:v>
      </x:c>
    </x:row>
    <x:row r="71">
      <x:c r="A71" s="80" t="n">
        <x:v>1</x:v>
      </x:c>
      <x:c r="B71" s="52" t="str">
        <x:v>60011237</x:v>
      </x:c>
      <x:c r="C71" s="83" t="str">
        <x:v>Medium Adult 7+ 3 Kg</x:v>
      </x:c>
      <x:c r="D71" s="83" t="str">
        <x:v>Alimento balanceado y nutrición</x:v>
      </x:c>
      <x:c r="E71" s="83" t="str">
        <x:v>Alimento seco / balanceado</x:v>
      </x:c>
      <x:c r="F71" s="83" t="str">
        <x:v>Producto</x:v>
      </x:c>
      <x:c r="G71" s="83" t="str">
        <x:v>No</x:v>
      </x:c>
      <x:c r="H71" s="83" t="str"/>
      <x:c r="I71" s="81" t="n">
        <x:v>2</x:v>
      </x:c>
      <x:c r="J71" s="52" t="str">
        <x:v>Bolsa</x:v>
      </x:c>
      <x:c r="K71" s="82" t="n">
        <x:v>82121.5</x:v>
      </x:c>
      <x:c r="L71" s="82" t="n">
        <x:v>0</x:v>
      </x:c>
      <x:c r="M71" s="82" t="n">
        <x:v>82121.5</x:v>
      </x:c>
      <x:c r="N71" s="80" t="n">
        <x:v>171</x:v>
      </x:c>
    </x:row>
    <x:row r="72">
      <x:c r="A72" s="80" t="n">
        <x:v>1</x:v>
      </x:c>
      <x:c r="B72" s="52" t="str">
        <x:v>3003030</x:v>
      </x:c>
      <x:c r="C72" s="83" t="str">
        <x:v>Medium Puppy 3Kg</x:v>
      </x:c>
      <x:c r="D72" s="83" t="str">
        <x:v>Alimento balanceado y nutrición</x:v>
      </x:c>
      <x:c r="E72" s="83" t="str">
        <x:v>Alimento seco / balanceado</x:v>
      </x:c>
      <x:c r="F72" s="83" t="str">
        <x:v>Producto</x:v>
      </x:c>
      <x:c r="G72" s="83" t="str">
        <x:v>No</x:v>
      </x:c>
      <x:c r="H72" s="83" t="str"/>
      <x:c r="I72" s="81" t="n">
        <x:v>1</x:v>
      </x:c>
      <x:c r="J72" s="52" t="str">
        <x:v>Bolsa</x:v>
      </x:c>
      <x:c r="K72" s="82" t="n">
        <x:v>39836</x:v>
      </x:c>
      <x:c r="L72" s="82" t="n">
        <x:v>0</x:v>
      </x:c>
      <x:c r="M72" s="82" t="n">
        <x:v>39836</x:v>
      </x:c>
      <x:c r="N72" s="80" t="n">
        <x:v>174</x:v>
      </x:c>
    </x:row>
    <x:row r="73">
      <x:c r="A73" s="80" t="n">
        <x:v>1</x:v>
      </x:c>
      <x:c r="B73" s="52" t="str">
        <x:v>60011243</x:v>
      </x:c>
      <x:c r="C73" s="83" t="str">
        <x:v>Mini Adult 1 Kg</x:v>
      </x:c>
      <x:c r="D73" s="83" t="str">
        <x:v>Alimento balanceado y nutrición</x:v>
      </x:c>
      <x:c r="E73" s="83" t="str">
        <x:v>Alimento seco / balanceado</x:v>
      </x:c>
      <x:c r="F73" s="83" t="str">
        <x:v>Producto</x:v>
      </x:c>
      <x:c r="G73" s="83" t="str">
        <x:v>No</x:v>
      </x:c>
      <x:c r="H73" s="83" t="str"/>
      <x:c r="I73" s="81" t="n">
        <x:v>1</x:v>
      </x:c>
      <x:c r="J73" s="52" t="str">
        <x:v>Bolsa</x:v>
      </x:c>
      <x:c r="K73" s="82" t="n">
        <x:v>14085</x:v>
      </x:c>
      <x:c r="L73" s="82" t="n">
        <x:v>0</x:v>
      </x:c>
      <x:c r="M73" s="82" t="n">
        <x:v>14085</x:v>
      </x:c>
      <x:c r="N73" s="80" t="n">
        <x:v>180</x:v>
      </x:c>
    </x:row>
    <x:row r="74">
      <x:c r="A74" s="80" t="n">
        <x:v>1</x:v>
      </x:c>
      <x:c r="B74" s="52" t="str">
        <x:v>2461075S</x:v>
      </x:c>
      <x:c r="C74" s="83" t="str">
        <x:v>Mini Adult 1 Kg SUELTO</x:v>
      </x:c>
      <x:c r="D74" s="83" t="str">
        <x:v>Alimento balanceado y nutrición</x:v>
      </x:c>
      <x:c r="E74" s="83" t="str">
        <x:v>Alimento seco / balanceado</x:v>
      </x:c>
      <x:c r="F74" s="83" t="str">
        <x:v>Producto</x:v>
      </x:c>
      <x:c r="G74" s="83" t="str">
        <x:v>No</x:v>
      </x:c>
      <x:c r="H74" s="83" t="str"/>
      <x:c r="I74" s="81" t="n">
        <x:v>6</x:v>
      </x:c>
      <x:c r="J74" s="52" t="str">
        <x:v>Bolsa</x:v>
      </x:c>
      <x:c r="K74" s="82" t="n">
        <x:v>61407.5</x:v>
      </x:c>
      <x:c r="L74" s="82" t="n">
        <x:v>0</x:v>
      </x:c>
      <x:c r="M74" s="82" t="n">
        <x:v>61407.5</x:v>
      </x:c>
      <x:c r="N74" s="80" t="n">
        <x:v>181</x:v>
      </x:c>
    </x:row>
    <x:row r="75">
      <x:c r="A75" s="80" t="n">
        <x:v>1</x:v>
      </x:c>
      <x:c r="B75" s="52" t="str">
        <x:v>60011245</x:v>
      </x:c>
      <x:c r="C75" s="83" t="str">
        <x:v>Mini Adult 3 Kg</x:v>
      </x:c>
      <x:c r="D75" s="83" t="str">
        <x:v>Alimento balanceado y nutrición</x:v>
      </x:c>
      <x:c r="E75" s="83" t="str">
        <x:v>Alimento seco / balanceado</x:v>
      </x:c>
      <x:c r="F75" s="83" t="str">
        <x:v>Producto</x:v>
      </x:c>
      <x:c r="G75" s="83" t="str">
        <x:v>No</x:v>
      </x:c>
      <x:c r="H75" s="83" t="str"/>
      <x:c r="I75" s="81" t="n">
        <x:v>1</x:v>
      </x:c>
      <x:c r="J75" s="52" t="str">
        <x:v>Bolsa</x:v>
      </x:c>
      <x:c r="K75" s="82" t="n">
        <x:v>44150</x:v>
      </x:c>
      <x:c r="L75" s="82" t="n">
        <x:v>0</x:v>
      </x:c>
      <x:c r="M75" s="82" t="n">
        <x:v>44150</x:v>
      </x:c>
      <x:c r="N75" s="80" t="n">
        <x:v>182</x:v>
      </x:c>
    </x:row>
    <x:row r="76">
      <x:c r="A76" s="80" t="n">
        <x:v>1</x:v>
      </x:c>
      <x:c r="B76" s="52" t="str">
        <x:v>2461075SS</x:v>
      </x:c>
      <x:c r="C76" s="83" t="str">
        <x:v>Mini Adult 500 Gr SUELTO</x:v>
      </x:c>
      <x:c r="D76" s="83" t="str">
        <x:v>Alimento balanceado y nutrición</x:v>
      </x:c>
      <x:c r="E76" s="83" t="str">
        <x:v>Alimento seco / balanceado</x:v>
      </x:c>
      <x:c r="F76" s="83" t="str">
        <x:v>Producto</x:v>
      </x:c>
      <x:c r="G76" s="83" t="str">
        <x:v>No</x:v>
      </x:c>
      <x:c r="H76" s="83" t="str"/>
      <x:c r="I76" s="81" t="n">
        <x:v>5</x:v>
      </x:c>
      <x:c r="J76" s="52" t="str">
        <x:v>Bolsa</x:v>
      </x:c>
      <x:c r="K76" s="82" t="n">
        <x:v>24685</x:v>
      </x:c>
      <x:c r="L76" s="82" t="n">
        <x:v>0</x:v>
      </x:c>
      <x:c r="M76" s="82" t="n">
        <x:v>24685</x:v>
      </x:c>
      <x:c r="N76" s="80" t="n">
        <x:v>183</x:v>
      </x:c>
    </x:row>
    <x:row r="77">
      <x:c r="A77" s="80" t="n">
        <x:v>1</x:v>
      </x:c>
      <x:c r="B77" s="52" t="str">
        <x:v>2462010</x:v>
      </x:c>
      <x:c r="C77" s="83" t="str">
        <x:v>Mini Adult 8+ 1Kg</x:v>
      </x:c>
      <x:c r="D77" s="83" t="str">
        <x:v>Alimento balanceado y nutrición</x:v>
      </x:c>
      <x:c r="E77" s="83" t="str">
        <x:v>Alimento seco / balanceado</x:v>
      </x:c>
      <x:c r="F77" s="83" t="str">
        <x:v>Producto</x:v>
      </x:c>
      <x:c r="G77" s="83" t="str">
        <x:v>No</x:v>
      </x:c>
      <x:c r="H77" s="83" t="str"/>
      <x:c r="I77" s="81" t="n">
        <x:v>1</x:v>
      </x:c>
      <x:c r="J77" s="52" t="str">
        <x:v>Bolsa</x:v>
      </x:c>
      <x:c r="K77" s="82" t="n">
        <x:v>15364</x:v>
      </x:c>
      <x:c r="L77" s="82" t="n">
        <x:v>0</x:v>
      </x:c>
      <x:c r="M77" s="82" t="n">
        <x:v>15364</x:v>
      </x:c>
      <x:c r="N77" s="80" t="n">
        <x:v>184</x:v>
      </x:c>
    </x:row>
    <x:row r="78">
      <x:c r="A78" s="80" t="n">
        <x:v>1</x:v>
      </x:c>
      <x:c r="B78" s="52" t="str">
        <x:v>2466030</x:v>
      </x:c>
      <x:c r="C78" s="83" t="str">
        <x:v>Mini Ageing 12+ 3Kg</x:v>
      </x:c>
      <x:c r="D78" s="83" t="str">
        <x:v>Alimento balanceado y nutrición</x:v>
      </x:c>
      <x:c r="E78" s="83" t="str">
        <x:v>Alimento seco / balanceado</x:v>
      </x:c>
      <x:c r="F78" s="83" t="str">
        <x:v>Producto</x:v>
      </x:c>
      <x:c r="G78" s="83" t="str">
        <x:v>No</x:v>
      </x:c>
      <x:c r="H78" s="83" t="str"/>
      <x:c r="I78" s="81" t="n">
        <x:v>1</x:v>
      </x:c>
      <x:c r="J78" s="52" t="str">
        <x:v>Bolsa</x:v>
      </x:c>
      <x:c r="K78" s="82" t="n">
        <x:v>37975.5</x:v>
      </x:c>
      <x:c r="L78" s="82" t="n">
        <x:v>0</x:v>
      </x:c>
      <x:c r="M78" s="82" t="n">
        <x:v>37975.5</x:v>
      </x:c>
      <x:c r="N78" s="80" t="n">
        <x:v>186</x:v>
      </x:c>
    </x:row>
    <x:row r="79">
      <x:c r="A79" s="80" t="n">
        <x:v>1</x:v>
      </x:c>
      <x:c r="B79" s="52" t="str">
        <x:v>3000010</x:v>
      </x:c>
      <x:c r="C79" s="83" t="str">
        <x:v>Mini Puppy 1 Kg</x:v>
      </x:c>
      <x:c r="D79" s="83" t="str">
        <x:v>Alimento balanceado y nutrición</x:v>
      </x:c>
      <x:c r="E79" s="83" t="str">
        <x:v>Alimento seco / balanceado</x:v>
      </x:c>
      <x:c r="F79" s="83" t="str">
        <x:v>Producto</x:v>
      </x:c>
      <x:c r="G79" s="83" t="str">
        <x:v>No</x:v>
      </x:c>
      <x:c r="H79" s="83" t="str"/>
      <x:c r="I79" s="81" t="n">
        <x:v>6</x:v>
      </x:c>
      <x:c r="J79" s="52" t="str">
        <x:v>Bolsa</x:v>
      </x:c>
      <x:c r="K79" s="82" t="n">
        <x:v>86997.5</x:v>
      </x:c>
      <x:c r="L79" s="82" t="n">
        <x:v>0</x:v>
      </x:c>
      <x:c r="M79" s="82" t="n">
        <x:v>86997.5</x:v>
      </x:c>
      <x:c r="N79" s="80" t="n">
        <x:v>188</x:v>
      </x:c>
    </x:row>
    <x:row r="80">
      <x:c r="A80" s="80" t="n">
        <x:v>1</x:v>
      </x:c>
      <x:c r="B80" s="52" t="str">
        <x:v>3000030</x:v>
      </x:c>
      <x:c r="C80" s="83" t="str">
        <x:v>Mini Puppy 3 Kg</x:v>
      </x:c>
      <x:c r="D80" s="83" t="str">
        <x:v>Alimento balanceado y nutrición</x:v>
      </x:c>
      <x:c r="E80" s="83" t="str">
        <x:v>Alimento seco / balanceado</x:v>
      </x:c>
      <x:c r="F80" s="83" t="str">
        <x:v>Producto</x:v>
      </x:c>
      <x:c r="G80" s="83" t="str">
        <x:v>No</x:v>
      </x:c>
      <x:c r="H80" s="83" t="str"/>
      <x:c r="I80" s="81" t="n">
        <x:v>1</x:v>
      </x:c>
      <x:c r="J80" s="52" t="str">
        <x:v>Bolsa</x:v>
      </x:c>
      <x:c r="K80" s="82" t="n">
        <x:v>41490</x:v>
      </x:c>
      <x:c r="L80" s="82" t="n">
        <x:v>0</x:v>
      </x:c>
      <x:c r="M80" s="82" t="n">
        <x:v>41490</x:v>
      </x:c>
      <x:c r="N80" s="80" t="n">
        <x:v>189</x:v>
      </x:c>
    </x:row>
    <x:row r="81">
      <x:c r="A81" s="80" t="n">
        <x:v>1</x:v>
      </x:c>
      <x:c r="B81" s="52" t="str">
        <x:v>2.11.66</x:v>
      </x:c>
      <x:c r="C81" s="83" t="str">
        <x:v>Old Prince Novel Cordero y Arroz Adulto Small 3 Kg</x:v>
      </x:c>
      <x:c r="D81" s="83" t="str">
        <x:v>Alimento balanceado y nutrición</x:v>
      </x:c>
      <x:c r="E81" s="83" t="str">
        <x:v>Alimento seco / balanceado</x:v>
      </x:c>
      <x:c r="F81" s="83" t="str">
        <x:v>Producto</x:v>
      </x:c>
      <x:c r="G81" s="83" t="str">
        <x:v>No</x:v>
      </x:c>
      <x:c r="H81" s="83" t="str"/>
      <x:c r="I81" s="81" t="n">
        <x:v>8</x:v>
      </x:c>
      <x:c r="J81" s="52" t="str">
        <x:v>3 Kg</x:v>
      </x:c>
      <x:c r="K81" s="82" t="n">
        <x:v>148802.5</x:v>
      </x:c>
      <x:c r="L81" s="82" t="n">
        <x:v>0</x:v>
      </x:c>
      <x:c r="M81" s="82" t="n">
        <x:v>148802.5</x:v>
      </x:c>
      <x:c r="N81" s="80" t="n">
        <x:v>209</x:v>
      </x:c>
    </x:row>
    <x:row r="82">
      <x:c r="A82" s="80" t="n">
        <x:v>1</x:v>
      </x:c>
      <x:c r="B82" s="52" t="str">
        <x:v>2.11.71</x:v>
      </x:c>
      <x:c r="C82" s="83" t="str">
        <x:v>Old Prince Novel Cordero y Arroz Adultos Medium &amp; Large 15 Kg</x:v>
      </x:c>
      <x:c r="D82" s="83" t="str">
        <x:v>Alimento balanceado y nutrición</x:v>
      </x:c>
      <x:c r="E82" s="83" t="str">
        <x:v>Alimento seco / balanceado</x:v>
      </x:c>
      <x:c r="F82" s="83" t="str">
        <x:v>Producto</x:v>
      </x:c>
      <x:c r="G82" s="83" t="str">
        <x:v>No</x:v>
      </x:c>
      <x:c r="H82" s="83" t="str"/>
      <x:c r="I82" s="81" t="n">
        <x:v>2</x:v>
      </x:c>
      <x:c r="J82" s="52" t="str">
        <x:v>15 Kg</x:v>
      </x:c>
      <x:c r="K82" s="82" t="n">
        <x:v>143884.48</x:v>
      </x:c>
      <x:c r="L82" s="82" t="n">
        <x:v>0</x:v>
      </x:c>
      <x:c r="M82" s="82" t="n">
        <x:v>143884.48</x:v>
      </x:c>
      <x:c r="N82" s="80" t="n">
        <x:v>210</x:v>
      </x:c>
    </x:row>
    <x:row r="83">
      <x:c r="A83" s="80" t="n">
        <x:v>1</x:v>
      </x:c>
      <x:c r="B83" s="52" t="str">
        <x:v>2.11.70</x:v>
      </x:c>
      <x:c r="C83" s="83" t="str">
        <x:v>Old Prince Novel Cordero y Arroz Adultos Medium &amp; Large 3 Kg</x:v>
      </x:c>
      <x:c r="D83" s="83" t="str">
        <x:v>Alimento balanceado y nutrición</x:v>
      </x:c>
      <x:c r="E83" s="83" t="str">
        <x:v>Alimento seco / balanceado</x:v>
      </x:c>
      <x:c r="F83" s="83" t="str">
        <x:v>Producto</x:v>
      </x:c>
      <x:c r="G83" s="83" t="str">
        <x:v>No</x:v>
      </x:c>
      <x:c r="H83" s="83" t="str"/>
      <x:c r="I83" s="81" t="n">
        <x:v>2</x:v>
      </x:c>
      <x:c r="J83" s="52" t="str">
        <x:v>3 Kg</x:v>
      </x:c>
      <x:c r="K83" s="82" t="n">
        <x:v>33739.2</x:v>
      </x:c>
      <x:c r="L83" s="82" t="n">
        <x:v>0</x:v>
      </x:c>
      <x:c r="M83" s="82" t="n">
        <x:v>33739.2</x:v>
      </x:c>
      <x:c r="N83" s="80" t="n">
        <x:v>211</x:v>
      </x:c>
    </x:row>
    <x:row r="84">
      <x:c r="A84" s="80" t="n">
        <x:v>1</x:v>
      </x:c>
      <x:c r="B84" s="52" t="str">
        <x:v>2.11.146</x:v>
      </x:c>
      <x:c r="C84" s="83" t="str">
        <x:v>Old Prince Novel Cordero y Arroz Adultos Senior 15 Kg</x:v>
      </x:c>
      <x:c r="D84" s="83" t="str">
        <x:v>Alimento balanceado y nutrición</x:v>
      </x:c>
      <x:c r="E84" s="83" t="str">
        <x:v>Alimento seco / balanceado</x:v>
      </x:c>
      <x:c r="F84" s="83" t="str">
        <x:v>Producto</x:v>
      </x:c>
      <x:c r="G84" s="83" t="str">
        <x:v>No</x:v>
      </x:c>
      <x:c r="H84" s="83" t="str"/>
      <x:c r="I84" s="81" t="n">
        <x:v>1</x:v>
      </x:c>
      <x:c r="J84" s="52" t="str">
        <x:v>15 Kg</x:v>
      </x:c>
      <x:c r="K84" s="82" t="n">
        <x:v>76680</x:v>
      </x:c>
      <x:c r="L84" s="82" t="n">
        <x:v>0</x:v>
      </x:c>
      <x:c r="M84" s="82" t="n">
        <x:v>76680</x:v>
      </x:c>
      <x:c r="N84" s="80" t="n">
        <x:v>212</x:v>
      </x:c>
    </x:row>
    <x:row r="85">
      <x:c r="A85" s="80" t="n">
        <x:v>1</x:v>
      </x:c>
      <x:c r="B85" s="52" t="str">
        <x:v>2.12.52S</x:v>
      </x:c>
      <x:c r="C85" s="83" t="str">
        <x:v>Old Prince Premium Gato Adulto 1 Kg SUELTO</x:v>
      </x:c>
      <x:c r="D85" s="83" t="str">
        <x:v>Alimento balanceado y nutrición</x:v>
      </x:c>
      <x:c r="E85" s="83" t="str">
        <x:v>Alimento seco / balanceado</x:v>
      </x:c>
      <x:c r="F85" s="83" t="str">
        <x:v>Producto</x:v>
      </x:c>
      <x:c r="G85" s="83" t="str">
        <x:v>No</x:v>
      </x:c>
      <x:c r="H85" s="83" t="str"/>
      <x:c r="I85" s="81" t="n">
        <x:v>6</x:v>
      </x:c>
      <x:c r="J85" s="52" t="str">
        <x:v>Bolsa</x:v>
      </x:c>
      <x:c r="K85" s="82" t="n">
        <x:v>27720</x:v>
      </x:c>
      <x:c r="L85" s="82" t="n">
        <x:v>0</x:v>
      </x:c>
      <x:c r="M85" s="82" t="n">
        <x:v>27720</x:v>
      </x:c>
      <x:c r="N85" s="80" t="n">
        <x:v>213</x:v>
      </x:c>
    </x:row>
    <x:row r="86">
      <x:c r="A86" s="80" t="n">
        <x:v>1</x:v>
      </x:c>
      <x:c r="B86" s="52" t="str">
        <x:v>2.12.52SS</x:v>
      </x:c>
      <x:c r="C86" s="83" t="str">
        <x:v>Old Prince Premium Gato Adulto 500Gr SUELTO</x:v>
      </x:c>
      <x:c r="D86" s="83" t="str">
        <x:v>Alimento balanceado y nutrición</x:v>
      </x:c>
      <x:c r="E86" s="83" t="str">
        <x:v>Alimento seco / balanceado</x:v>
      </x:c>
      <x:c r="F86" s="83" t="str">
        <x:v>Producto</x:v>
      </x:c>
      <x:c r="G86" s="83" t="str">
        <x:v>No</x:v>
      </x:c>
      <x:c r="H86" s="83" t="str"/>
      <x:c r="I86" s="81" t="n">
        <x:v>2</x:v>
      </x:c>
      <x:c r="J86" s="52" t="str">
        <x:v>Bolsa</x:v>
      </x:c>
      <x:c r="K86" s="82" t="n">
        <x:v>5000</x:v>
      </x:c>
      <x:c r="L86" s="82" t="n">
        <x:v>0</x:v>
      </x:c>
      <x:c r="M86" s="82" t="n">
        <x:v>5000</x:v>
      </x:c>
      <x:c r="N86" s="80" t="n">
        <x:v>214</x:v>
      </x:c>
    </x:row>
    <x:row r="87">
      <x:c r="A87" s="80" t="n">
        <x:v>1</x:v>
      </x:c>
      <x:c r="B87" s="52" t="str">
        <x:v>2.12.52</x:v>
      </x:c>
      <x:c r="C87" s="83" t="str">
        <x:v>Old Prince Premium Gato Adulto 7,5 Kg</x:v>
      </x:c>
      <x:c r="D87" s="83" t="str">
        <x:v>Alimento balanceado y nutrición</x:v>
      </x:c>
      <x:c r="E87" s="83" t="str">
        <x:v>Alimento seco / balanceado</x:v>
      </x:c>
      <x:c r="F87" s="83" t="str">
        <x:v>Producto</x:v>
      </x:c>
      <x:c r="G87" s="83" t="str">
        <x:v>No</x:v>
      </x:c>
      <x:c r="H87" s="83" t="str"/>
      <x:c r="I87" s="81" t="n">
        <x:v>1</x:v>
      </x:c>
      <x:c r="J87" s="52" t="str">
        <x:v>7,5 Kg</x:v>
      </x:c>
      <x:c r="K87" s="82" t="n">
        <x:v>32175</x:v>
      </x:c>
      <x:c r="L87" s="82" t="n">
        <x:v>0</x:v>
      </x:c>
      <x:c r="M87" s="82" t="n">
        <x:v>32175</x:v>
      </x:c>
      <x:c r="N87" s="80" t="n">
        <x:v>215</x:v>
      </x:c>
    </x:row>
    <x:row r="88">
      <x:c r="A88" s="80" t="n">
        <x:v>1</x:v>
      </x:c>
      <x:c r="B88" s="52" t="str">
        <x:v>ARP150S</x:v>
      </x:c>
      <x:c r="C88" s="83" t="str">
        <x:v>PEDIGREE Adulto Razas Pequeñas Etapa 2 X 1 Kg SUELTO</x:v>
      </x:c>
      <x:c r="D88" s="83" t="str">
        <x:v>Alimento balanceado y nutrición</x:v>
      </x:c>
      <x:c r="E88" s="83" t="str">
        <x:v>Alimento seco / balanceado</x:v>
      </x:c>
      <x:c r="F88" s="83" t="str">
        <x:v>Producto</x:v>
      </x:c>
      <x:c r="G88" s="83" t="str">
        <x:v>No</x:v>
      </x:c>
      <x:c r="H88" s="83" t="str"/>
      <x:c r="I88" s="81" t="n">
        <x:v>1</x:v>
      </x:c>
      <x:c r="J88" s="52" t="str">
        <x:v>Bolsa</x:v>
      </x:c>
      <x:c r="K88" s="82" t="n">
        <x:v>3900</x:v>
      </x:c>
      <x:c r="L88" s="82" t="n">
        <x:v>0</x:v>
      </x:c>
      <x:c r="M88" s="82" t="n">
        <x:v>3900</x:v>
      </x:c>
      <x:c r="N88" s="80" t="n">
        <x:v>234</x:v>
      </x:c>
    </x:row>
    <x:row r="89">
      <x:c r="A89" s="80" t="n">
        <x:v>1</x:v>
      </x:c>
      <x:c r="B89" s="52" t="str">
        <x:v>ARP150SS</x:v>
      </x:c>
      <x:c r="C89" s="83" t="str">
        <x:v>PEDIGREE Adulto Razas Pequeñas Etapa 2 X 500 Gr SUELTO</x:v>
      </x:c>
      <x:c r="D89" s="83" t="str">
        <x:v>Alimento balanceado y nutrición</x:v>
      </x:c>
      <x:c r="E89" s="83" t="str">
        <x:v>Alimento seco / balanceado</x:v>
      </x:c>
      <x:c r="F89" s="83" t="str">
        <x:v>Producto</x:v>
      </x:c>
      <x:c r="G89" s="83" t="str">
        <x:v>No</x:v>
      </x:c>
      <x:c r="H89" s="83" t="str"/>
      <x:c r="I89" s="81" t="n">
        <x:v>2</x:v>
      </x:c>
      <x:c r="J89" s="52" t="str">
        <x:v>Bolsa</x:v>
      </x:c>
      <x:c r="K89" s="82" t="n">
        <x:v>2950</x:v>
      </x:c>
      <x:c r="L89" s="82" t="n">
        <x:v>0</x:v>
      </x:c>
      <x:c r="M89" s="82" t="n">
        <x:v>2950</x:v>
      </x:c>
      <x:c r="N89" s="80" t="n">
        <x:v>235</x:v>
      </x:c>
    </x:row>
    <x:row r="90">
      <x:c r="A90" s="80" t="n">
        <x:v>1</x:v>
      </x:c>
      <x:c r="B90" s="52" t="str">
        <x:v>3841010</x:v>
      </x:c>
      <x:c r="C90" s="83" t="str">
        <x:v>Poodle 1 Kg</x:v>
      </x:c>
      <x:c r="D90" s="83" t="str">
        <x:v>Alimento balanceado y nutrición</x:v>
      </x:c>
      <x:c r="E90" s="83" t="str">
        <x:v>Alimento seco / balanceado</x:v>
      </x:c>
      <x:c r="F90" s="83" t="str">
        <x:v>Producto</x:v>
      </x:c>
      <x:c r="G90" s="83" t="str">
        <x:v>No</x:v>
      </x:c>
      <x:c r="H90" s="83" t="str"/>
      <x:c r="I90" s="81" t="n">
        <x:v>5</x:v>
      </x:c>
      <x:c r="J90" s="52" t="str">
        <x:v>Bolsa</x:v>
      </x:c>
      <x:c r="K90" s="82" t="n">
        <x:v>74868</x:v>
      </x:c>
      <x:c r="L90" s="82" t="n">
        <x:v>0</x:v>
      </x:c>
      <x:c r="M90" s="82" t="n">
        <x:v>74868</x:v>
      </x:c>
      <x:c r="N90" s="80" t="n">
        <x:v>255</x:v>
      </x:c>
    </x:row>
    <x:row r="91">
      <x:c r="A91" s="80" t="n">
        <x:v>1</x:v>
      </x:c>
      <x:c r="B91" s="52" t="str">
        <x:v>12450068</x:v>
      </x:c>
      <x:c r="C91" s="83" t="str">
        <x:v>PRO PLAN ADULT CAT 3 Kg</x:v>
      </x:c>
      <x:c r="D91" s="83" t="str">
        <x:v>Alimento balanceado y nutrición</x:v>
      </x:c>
      <x:c r="E91" s="83" t="str">
        <x:v>Alimento seco / balanceado</x:v>
      </x:c>
      <x:c r="F91" s="83" t="str">
        <x:v>Producto</x:v>
      </x:c>
      <x:c r="G91" s="83" t="str">
        <x:v>No</x:v>
      </x:c>
      <x:c r="H91" s="83" t="str"/>
      <x:c r="I91" s="81" t="n">
        <x:v>1</x:v>
      </x:c>
      <x:c r="J91" s="52" t="str">
        <x:v>3 Kg</x:v>
      </x:c>
      <x:c r="K91" s="82" t="n">
        <x:v>53150</x:v>
      </x:c>
      <x:c r="L91" s="82" t="n">
        <x:v>0</x:v>
      </x:c>
      <x:c r="M91" s="82" t="n">
        <x:v>53150</x:v>
      </x:c>
      <x:c r="N91" s="80" t="n">
        <x:v>269</x:v>
      </x:c>
    </x:row>
    <x:row r="92">
      <x:c r="A92" s="80" t="n">
        <x:v>1</x:v>
      </x:c>
      <x:c r="B92" s="52" t="str">
        <x:v>12453303S</x:v>
      </x:c>
      <x:c r="C92" s="83" t="str">
        <x:v>PRO PLAN ADULT DOG RAZA PEQUEÑA 1 Kg SUELTO</x:v>
      </x:c>
      <x:c r="D92" s="83" t="str">
        <x:v>Alimento balanceado y nutrición</x:v>
      </x:c>
      <x:c r="E92" s="83" t="str">
        <x:v>Alimento seco / balanceado</x:v>
      </x:c>
      <x:c r="F92" s="83" t="str">
        <x:v>Producto</x:v>
      </x:c>
      <x:c r="G92" s="83" t="str">
        <x:v>No</x:v>
      </x:c>
      <x:c r="H92" s="83" t="str"/>
      <x:c r="I92" s="81" t="n">
        <x:v>7</x:v>
      </x:c>
      <x:c r="J92" s="52" t="str">
        <x:v>Bolsa</x:v>
      </x:c>
      <x:c r="K92" s="82" t="n">
        <x:v>54400</x:v>
      </x:c>
      <x:c r="L92" s="82" t="n">
        <x:v>0</x:v>
      </x:c>
      <x:c r="M92" s="82" t="n">
        <x:v>54400</x:v>
      </x:c>
      <x:c r="N92" s="80" t="n">
        <x:v>270</x:v>
      </x:c>
    </x:row>
    <x:row r="93">
      <x:c r="A93" s="80" t="n">
        <x:v>1</x:v>
      </x:c>
      <x:c r="B93" s="52" t="str">
        <x:v>12453303SS</x:v>
      </x:c>
      <x:c r="C93" s="83" t="str">
        <x:v>PRO PLAN ADULT DOG RAZA PEQUEÑA 500 Gr SUELTO</x:v>
      </x:c>
      <x:c r="D93" s="83" t="str">
        <x:v>Alimento balanceado y nutrición</x:v>
      </x:c>
      <x:c r="E93" s="83" t="str">
        <x:v>Alimento seco / balanceado</x:v>
      </x:c>
      <x:c r="F93" s="83" t="str">
        <x:v>Producto</x:v>
      </x:c>
      <x:c r="G93" s="83" t="str">
        <x:v>No</x:v>
      </x:c>
      <x:c r="H93" s="83" t="str"/>
      <x:c r="I93" s="81" t="n">
        <x:v>2</x:v>
      </x:c>
      <x:c r="J93" s="52" t="str">
        <x:v>Bolsa</x:v>
      </x:c>
      <x:c r="K93" s="82" t="n">
        <x:v>7600</x:v>
      </x:c>
      <x:c r="L93" s="82" t="n">
        <x:v>0</x:v>
      </x:c>
      <x:c r="M93" s="82" t="n">
        <x:v>7600</x:v>
      </x:c>
      <x:c r="N93" s="80" t="n">
        <x:v>271</x:v>
      </x:c>
    </x:row>
    <x:row r="94">
      <x:c r="A94" s="80" t="n">
        <x:v>1</x:v>
      </x:c>
      <x:c r="B94" s="52" t="str"/>
      <x:c r="C94" s="83" t="str">
        <x:v>WHISKAS ADULTO CARNE 1 KG</x:v>
      </x:c>
      <x:c r="D94" s="83" t="str">
        <x:v>Alimento balanceado y nutrición</x:v>
      </x:c>
      <x:c r="E94" s="83" t="str">
        <x:v>Alimento seco / balanceado</x:v>
      </x:c>
      <x:c r="F94" s="83" t="str">
        <x:v>Producto</x:v>
      </x:c>
      <x:c r="G94" s="83" t="str">
        <x:v>No</x:v>
      </x:c>
      <x:c r="H94" s="83" t="str"/>
      <x:c r="I94" s="81" t="n">
        <x:v>2</x:v>
      </x:c>
      <x:c r="J94" s="52" t="str"/>
      <x:c r="K94" s="82" t="n">
        <x:v>9600</x:v>
      </x:c>
      <x:c r="L94" s="82" t="n">
        <x:v>0</x:v>
      </x:c>
      <x:c r="M94" s="82" t="n">
        <x:v>9600</x:v>
      </x:c>
      <x:c r="N94" s="80" t="n">
        <x:v>326</x:v>
      </x:c>
    </x:row>
    <x:row r="95">
      <x:c r="A95" s="80" t="n">
        <x:v>1</x:v>
      </x:c>
      <x:c r="B95" s="52" t="str">
        <x:v>3840030</x:v>
      </x:c>
      <x:c r="C95" s="83" t="str">
        <x:v>Yorkshire Terrier Adulto 3 Kg</x:v>
      </x:c>
      <x:c r="D95" s="83" t="str">
        <x:v>Alimento balanceado y nutrición</x:v>
      </x:c>
      <x:c r="E95" s="83" t="str">
        <x:v>Alimento seco / balanceado</x:v>
      </x:c>
      <x:c r="F95" s="83" t="str">
        <x:v>Producto</x:v>
      </x:c>
      <x:c r="G95" s="83" t="str">
        <x:v>No</x:v>
      </x:c>
      <x:c r="H95" s="83" t="str"/>
      <x:c r="I95" s="81" t="n">
        <x:v>1</x:v>
      </x:c>
      <x:c r="J95" s="52" t="str">
        <x:v>Bolsa</x:v>
      </x:c>
      <x:c r="K95" s="82" t="n">
        <x:v>48050</x:v>
      </x:c>
      <x:c r="L95" s="82" t="n">
        <x:v>0</x:v>
      </x:c>
      <x:c r="M95" s="82" t="n">
        <x:v>48050</x:v>
      </x:c>
      <x:c r="N95" s="80" t="n">
        <x:v>331</x:v>
      </x:c>
    </x:row>
    <x:row r="96">
      <x:c r="A96" s="80" t="n">
        <x:v>1</x:v>
      </x:c>
      <x:c r="B96" s="52" t="str">
        <x:v>25-01-16-02</x:v>
      </x:c>
      <x:c r="C96" s="83" t="str">
        <x:v>AGILITY CAT DIEGEST CONFORT X 340 GRAMOS</x:v>
      </x:c>
      <x:c r="D96" s="83" t="str">
        <x:v>Alimento balanceado y nutrición</x:v>
      </x:c>
      <x:c r="E96" s="83" t="str">
        <x:v>Dieta veterinaria</x:v>
      </x:c>
      <x:c r="F96" s="83" t="str">
        <x:v>Producto</x:v>
      </x:c>
      <x:c r="G96" s="83" t="str">
        <x:v>No</x:v>
      </x:c>
      <x:c r="H96" s="83" t="str"/>
      <x:c r="I96" s="81" t="n">
        <x:v>1</x:v>
      </x:c>
      <x:c r="J96" s="52" t="str">
        <x:v>Lata</x:v>
      </x:c>
      <x:c r="K96" s="82" t="n">
        <x:v>5250</x:v>
      </x:c>
      <x:c r="L96" s="82" t="n">
        <x:v>0</x:v>
      </x:c>
      <x:c r="M96" s="82" t="n">
        <x:v>5250</x:v>
      </x:c>
      <x:c r="N96" s="80" t="n">
        <x:v>8</x:v>
      </x:c>
    </x:row>
    <x:row r="97">
      <x:c r="A97" s="80" t="n">
        <x:v>1</x:v>
      </x:c>
      <x:c r="B97" s="52" t="str">
        <x:v>2007020</x:v>
      </x:c>
      <x:c r="C97" s="83" t="str">
        <x:v>Diabetic Canine 2 Kg</x:v>
      </x:c>
      <x:c r="D97" s="83" t="str">
        <x:v>Alimento balanceado y nutrición</x:v>
      </x:c>
      <x:c r="E97" s="83" t="str">
        <x:v>Dieta veterinaria</x:v>
      </x:c>
      <x:c r="F97" s="83" t="str">
        <x:v>Producto</x:v>
      </x:c>
      <x:c r="G97" s="83" t="str">
        <x:v>No</x:v>
      </x:c>
      <x:c r="H97" s="83" t="str"/>
      <x:c r="I97" s="81" t="n">
        <x:v>1</x:v>
      </x:c>
      <x:c r="J97" s="52" t="str">
        <x:v>Bolsa</x:v>
      </x:c>
      <x:c r="K97" s="82" t="n">
        <x:v>35236</x:v>
      </x:c>
      <x:c r="L97" s="82" t="n">
        <x:v>0</x:v>
      </x:c>
      <x:c r="M97" s="82" t="n">
        <x:v>35236</x:v>
      </x:c>
      <x:c r="N97" s="80" t="n">
        <x:v>82</x:v>
      </x:c>
    </x:row>
    <x:row r="98">
      <x:c r="A98" s="80" t="n">
        <x:v>1</x:v>
      </x:c>
      <x:c r="B98" s="52" t="str">
        <x:v>2106115</x:v>
      </x:c>
      <x:c r="C98" s="83" t="str">
        <x:v>Diabetic Feline 1,5 Kg</x:v>
      </x:c>
      <x:c r="D98" s="83" t="str">
        <x:v>Alimento balanceado y nutrición</x:v>
      </x:c>
      <x:c r="E98" s="83" t="str">
        <x:v>Dieta veterinaria</x:v>
      </x:c>
      <x:c r="F98" s="83" t="str">
        <x:v>Producto</x:v>
      </x:c>
      <x:c r="G98" s="83" t="str">
        <x:v>No</x:v>
      </x:c>
      <x:c r="H98" s="83" t="str"/>
      <x:c r="I98" s="81" t="n">
        <x:v>1</x:v>
      </x:c>
      <x:c r="J98" s="52" t="str">
        <x:v>Bolsa</x:v>
      </x:c>
      <x:c r="K98" s="82" t="n">
        <x:v>35275</x:v>
      </x:c>
      <x:c r="L98" s="82" t="n">
        <x:v>0</x:v>
      </x:c>
      <x:c r="M98" s="82" t="n">
        <x:v>35275</x:v>
      </x:c>
      <x:c r="N98" s="80" t="n">
        <x:v>83</x:v>
      </x:c>
    </x:row>
    <x:row r="99">
      <x:c r="A99" s="80" t="n">
        <x:v>1</x:v>
      </x:c>
      <x:c r="B99" s="52" t="str">
        <x:v>3391102</x:v>
      </x:c>
      <x:c r="C99" s="83" t="str">
        <x:v>DIGEST SENSITIVE Pouch x 85 Gr</x:v>
      </x:c>
      <x:c r="D99" s="83" t="str">
        <x:v>Alimento balanceado y nutrición</x:v>
      </x:c>
      <x:c r="E99" s="83" t="str">
        <x:v>Dieta veterinaria</x:v>
      </x:c>
      <x:c r="F99" s="83" t="str">
        <x:v>Producto</x:v>
      </x:c>
      <x:c r="G99" s="83" t="str">
        <x:v>No</x:v>
      </x:c>
      <x:c r="H99" s="83" t="str"/>
      <x:c r="I99" s="81" t="n">
        <x:v>2</x:v>
      </x:c>
      <x:c r="J99" s="52" t="str">
        <x:v>Pouch</x:v>
      </x:c>
      <x:c r="K99" s="82" t="n">
        <x:v>6480</x:v>
      </x:c>
      <x:c r="L99" s="82" t="n">
        <x:v>0</x:v>
      </x:c>
      <x:c r="M99" s="82" t="n">
        <x:v>6480</x:v>
      </x:c>
      <x:c r="N99" s="80" t="n">
        <x:v>84</x:v>
      </x:c>
    </x:row>
    <x:row r="100">
      <x:c r="A100" s="80" t="n">
        <x:v>1</x:v>
      </x:c>
      <x:c r="B100" s="52" t="str">
        <x:v>12396589S</x:v>
      </x:c>
      <x:c r="C100" s="83" t="str">
        <x:v>EXCELLENT URINARY CAT con Pollo y Arroz 1 Kg SUELTO</x:v>
      </x:c>
      <x:c r="D100" s="83" t="str">
        <x:v>Alimento balanceado y nutrición</x:v>
      </x:c>
      <x:c r="E100" s="83" t="str">
        <x:v>Dieta veterinaria</x:v>
      </x:c>
      <x:c r="F100" s="83" t="str">
        <x:v>Producto</x:v>
      </x:c>
      <x:c r="G100" s="83" t="str">
        <x:v>No</x:v>
      </x:c>
      <x:c r="H100" s="83" t="str"/>
      <x:c r="I100" s="81" t="n">
        <x:v>3</x:v>
      </x:c>
      <x:c r="J100" s="52" t="str">
        <x:v>Bolsa</x:v>
      </x:c>
      <x:c r="K100" s="82" t="n">
        <x:v>30484</x:v>
      </x:c>
      <x:c r="L100" s="82" t="n">
        <x:v>0</x:v>
      </x:c>
      <x:c r="M100" s="82" t="n">
        <x:v>30484</x:v>
      </x:c>
      <x:c r="N100" s="80" t="n">
        <x:v>115</x:v>
      </x:c>
    </x:row>
    <x:row r="101">
      <x:c r="A101" s="80" t="n">
        <x:v>1</x:v>
      </x:c>
      <x:c r="B101" s="52" t="str">
        <x:v>12396589SS</x:v>
      </x:c>
      <x:c r="C101" s="83" t="str">
        <x:v>EXCELLENT URINARY CAT con Pollo y Arroz 500 Gr SUELTO</x:v>
      </x:c>
      <x:c r="D101" s="83" t="str">
        <x:v>Alimento balanceado y nutrición</x:v>
      </x:c>
      <x:c r="E101" s="83" t="str">
        <x:v>Dieta veterinaria</x:v>
      </x:c>
      <x:c r="F101" s="83" t="str">
        <x:v>Producto</x:v>
      </x:c>
      <x:c r="G101" s="83" t="str">
        <x:v>No</x:v>
      </x:c>
      <x:c r="H101" s="83" t="str"/>
      <x:c r="I101" s="81" t="n">
        <x:v>1</x:v>
      </x:c>
      <x:c r="J101" s="52" t="str">
        <x:v>Bolsa</x:v>
      </x:c>
      <x:c r="K101" s="82" t="n">
        <x:v>5100</x:v>
      </x:c>
      <x:c r="L101" s="82" t="n">
        <x:v>0</x:v>
      </x:c>
      <x:c r="M101" s="82" t="n">
        <x:v>5100</x:v>
      </x:c>
      <x:c r="N101" s="80" t="n">
        <x:v>116</x:v>
      </x:c>
    </x:row>
    <x:row r="102">
      <x:c r="A102" s="80" t="n">
        <x:v>1</x:v>
      </x:c>
      <x:c r="B102" s="52" t="str">
        <x:v>4007020</x:v>
      </x:c>
      <x:c r="C102" s="83" t="str">
        <x:v>FIBRE RESPONSE FELINE 2 KG</x:v>
      </x:c>
      <x:c r="D102" s="83" t="str">
        <x:v>Alimento balanceado y nutrición</x:v>
      </x:c>
      <x:c r="E102" s="83" t="str">
        <x:v>Dieta veterinaria</x:v>
      </x:c>
      <x:c r="F102" s="83" t="str">
        <x:v>Producto</x:v>
      </x:c>
      <x:c r="G102" s="83" t="str">
        <x:v>No</x:v>
      </x:c>
      <x:c r="H102" s="83" t="str"/>
      <x:c r="I102" s="81" t="n">
        <x:v>1</x:v>
      </x:c>
      <x:c r="J102" s="52" t="str">
        <x:v>Bolsa</x:v>
      </x:c>
      <x:c r="K102" s="82" t="n">
        <x:v>45100</x:v>
      </x:c>
      <x:c r="L102" s="82" t="n">
        <x:v>0</x:v>
      </x:c>
      <x:c r="M102" s="82" t="n">
        <x:v>45100</x:v>
      </x:c>
      <x:c r="N102" s="80" t="n">
        <x:v>123</x:v>
      </x:c>
    </x:row>
    <x:row r="103">
      <x:c r="A103" s="80" t="n">
        <x:v>1</x:v>
      </x:c>
      <x:c r="B103" s="52" t="str">
        <x:v>3396024</x:v>
      </x:c>
      <x:c r="C103" s="83" t="str">
        <x:v>G-I Canine Low Fat Lata x 200 Gr</x:v>
      </x:c>
      <x:c r="D103" s="83" t="str">
        <x:v>Alimento balanceado y nutrición</x:v>
      </x:c>
      <x:c r="E103" s="83" t="str">
        <x:v>Dieta veterinaria</x:v>
      </x:c>
      <x:c r="F103" s="83" t="str">
        <x:v>Producto</x:v>
      </x:c>
      <x:c r="G103" s="83" t="str">
        <x:v>No</x:v>
      </x:c>
      <x:c r="H103" s="83" t="str"/>
      <x:c r="I103" s="81" t="n">
        <x:v>2</x:v>
      </x:c>
      <x:c r="J103" s="52" t="str">
        <x:v>Pouch</x:v>
      </x:c>
      <x:c r="K103" s="82" t="n">
        <x:v>13140</x:v>
      </x:c>
      <x:c r="L103" s="82" t="n">
        <x:v>0</x:v>
      </x:c>
      <x:c r="M103" s="82" t="n">
        <x:v>13140</x:v>
      </x:c>
      <x:c r="N103" s="80" t="n">
        <x:v>136</x:v>
      </x:c>
    </x:row>
    <x:row r="104">
      <x:c r="A104" s="80" t="n">
        <x:v>1</x:v>
      </x:c>
      <x:c r="B104" s="52" t="str">
        <x:v>3957020</x:v>
      </x:c>
      <x:c r="C104" s="83" t="str">
        <x:v>G-I Canine Puppy 2 Kg</x:v>
      </x:c>
      <x:c r="D104" s="83" t="str">
        <x:v>Alimento balanceado y nutrición</x:v>
      </x:c>
      <x:c r="E104" s="83" t="str">
        <x:v>Dieta veterinaria</x:v>
      </x:c>
      <x:c r="F104" s="83" t="str">
        <x:v>Producto</x:v>
      </x:c>
      <x:c r="G104" s="83" t="str">
        <x:v>No</x:v>
      </x:c>
      <x:c r="H104" s="83" t="str"/>
      <x:c r="I104" s="81" t="n">
        <x:v>1</x:v>
      </x:c>
      <x:c r="J104" s="52" t="str">
        <x:v>Bolsa</x:v>
      </x:c>
      <x:c r="K104" s="82" t="n">
        <x:v>29600</x:v>
      </x:c>
      <x:c r="L104" s="82" t="n">
        <x:v>0</x:v>
      </x:c>
      <x:c r="M104" s="82" t="n">
        <x:v>29600</x:v>
      </x:c>
      <x:c r="N104" s="80" t="n">
        <x:v>137</x:v>
      </x:c>
    </x:row>
    <x:row r="105">
      <x:c r="A105" s="80" t="n">
        <x:v>1</x:v>
      </x:c>
      <x:c r="B105" s="52" t="str">
        <x:v>3911020</x:v>
      </x:c>
      <x:c r="C105" s="83" t="str">
        <x:v>Gastrointestinal Canine 2 Kg</x:v>
      </x:c>
      <x:c r="D105" s="83" t="str">
        <x:v>Alimento balanceado y nutrición</x:v>
      </x:c>
      <x:c r="E105" s="83" t="str">
        <x:v>Dieta veterinaria</x:v>
      </x:c>
      <x:c r="F105" s="83" t="str">
        <x:v>Producto</x:v>
      </x:c>
      <x:c r="G105" s="83" t="str">
        <x:v>No</x:v>
      </x:c>
      <x:c r="H105" s="83" t="str"/>
      <x:c r="I105" s="81" t="n">
        <x:v>2</x:v>
      </x:c>
      <x:c r="J105" s="52" t="str">
        <x:v>Bolsa</x:v>
      </x:c>
      <x:c r="K105" s="82" t="n">
        <x:v>65500</x:v>
      </x:c>
      <x:c r="L105" s="82" t="n">
        <x:v>0</x:v>
      </x:c>
      <x:c r="M105" s="82" t="n">
        <x:v>65500</x:v>
      </x:c>
      <x:c r="N105" s="80" t="n">
        <x:v>138</x:v>
      </x:c>
    </x:row>
    <x:row r="106">
      <x:c r="A106" s="80" t="n">
        <x:v>1</x:v>
      </x:c>
      <x:c r="B106" s="52" t="str">
        <x:v>3905020</x:v>
      </x:c>
      <x:c r="C106" s="83" t="str">
        <x:v>Gastrointestinal Feline 2Kg</x:v>
      </x:c>
      <x:c r="D106" s="83" t="str">
        <x:v>Alimento balanceado y nutrición</x:v>
      </x:c>
      <x:c r="E106" s="83" t="str">
        <x:v>Dieta veterinaria</x:v>
      </x:c>
      <x:c r="F106" s="83" t="str">
        <x:v>Producto</x:v>
      </x:c>
      <x:c r="G106" s="83" t="str">
        <x:v>No</x:v>
      </x:c>
      <x:c r="H106" s="83" t="str"/>
      <x:c r="I106" s="81" t="n">
        <x:v>1</x:v>
      </x:c>
      <x:c r="J106" s="52" t="str">
        <x:v>Bolsa</x:v>
      </x:c>
      <x:c r="K106" s="82" t="n">
        <x:v>48550</x:v>
      </x:c>
      <x:c r="L106" s="82" t="n">
        <x:v>0</x:v>
      </x:c>
      <x:c r="M106" s="82" t="n">
        <x:v>48550</x:v>
      </x:c>
      <x:c r="N106" s="80" t="n">
        <x:v>139</x:v>
      </x:c>
    </x:row>
    <x:row r="107">
      <x:c r="A107" s="80" t="n">
        <x:v>1</x:v>
      </x:c>
      <x:c r="B107" s="52" t="str">
        <x:v>3927015</x:v>
      </x:c>
      <x:c r="C107" s="83" t="str">
        <x:v>Hepatic Canine 1,5 Kg</x:v>
      </x:c>
      <x:c r="D107" s="83" t="str">
        <x:v>Alimento balanceado y nutrición</x:v>
      </x:c>
      <x:c r="E107" s="83" t="str">
        <x:v>Dieta veterinaria</x:v>
      </x:c>
      <x:c r="F107" s="83" t="str">
        <x:v>Producto</x:v>
      </x:c>
      <x:c r="G107" s="83" t="str">
        <x:v>No</x:v>
      </x:c>
      <x:c r="H107" s="83" t="str"/>
      <x:c r="I107" s="81" t="n">
        <x:v>1</x:v>
      </x:c>
      <x:c r="J107" s="52" t="str">
        <x:v>Bolsa</x:v>
      </x:c>
      <x:c r="K107" s="82" t="n">
        <x:v>23465</x:v>
      </x:c>
      <x:c r="L107" s="82" t="n">
        <x:v>0</x:v>
      </x:c>
      <x:c r="M107" s="82" t="n">
        <x:v>23465</x:v>
      </x:c>
      <x:c r="N107" s="80" t="n">
        <x:v>147</x:v>
      </x:c>
    </x:row>
    <x:row r="108">
      <x:c r="A108" s="80" t="n">
        <x:v>1</x:v>
      </x:c>
      <x:c r="B108" s="52" t="str">
        <x:v>3952020</x:v>
      </x:c>
      <x:c r="C108" s="83" t="str">
        <x:v>Hypoallergenic Canine SD 2 Kg</x:v>
      </x:c>
      <x:c r="D108" s="83" t="str">
        <x:v>Alimento balanceado y nutrición</x:v>
      </x:c>
      <x:c r="E108" s="83" t="str">
        <x:v>Dieta veterinaria</x:v>
      </x:c>
      <x:c r="F108" s="83" t="str">
        <x:v>Producto</x:v>
      </x:c>
      <x:c r="G108" s="83" t="str">
        <x:v>No</x:v>
      </x:c>
      <x:c r="H108" s="83" t="str"/>
      <x:c r="I108" s="81" t="n">
        <x:v>1</x:v>
      </x:c>
      <x:c r="J108" s="52" t="str">
        <x:v>Bolsa</x:v>
      </x:c>
      <x:c r="K108" s="82" t="n">
        <x:v>34650</x:v>
      </x:c>
      <x:c r="L108" s="82" t="n">
        <x:v>0</x:v>
      </x:c>
      <x:c r="M108" s="82" t="n">
        <x:v>34650</x:v>
      </x:c>
      <x:c r="N108" s="80" t="n">
        <x:v>150</x:v>
      </x:c>
    </x:row>
    <x:row r="109">
      <x:c r="A109" s="80" t="n">
        <x:v>1</x:v>
      </x:c>
      <x:c r="B109" s="52" t="str">
        <x:v>3399102</x:v>
      </x:c>
      <x:c r="C109" s="83" t="str">
        <x:v>Light Weight Care Pouch 85 Gr</x:v>
      </x:c>
      <x:c r="D109" s="83" t="str">
        <x:v>Alimento balanceado y nutrición</x:v>
      </x:c>
      <x:c r="E109" s="83" t="str">
        <x:v>Dieta veterinaria</x:v>
      </x:c>
      <x:c r="F109" s="83" t="str">
        <x:v>Producto</x:v>
      </x:c>
      <x:c r="G109" s="83" t="str">
        <x:v>No</x:v>
      </x:c>
      <x:c r="H109" s="83" t="str"/>
      <x:c r="I109" s="81" t="n">
        <x:v>1</x:v>
      </x:c>
      <x:c r="J109" s="52" t="str">
        <x:v>Pouch</x:v>
      </x:c>
      <x:c r="K109" s="82" t="n">
        <x:v>3400</x:v>
      </x:c>
      <x:c r="L109" s="82" t="n">
        <x:v>0</x:v>
      </x:c>
      <x:c r="M109" s="82" t="n">
        <x:v>3400</x:v>
      </x:c>
      <x:c r="N109" s="80" t="n">
        <x:v>164</x:v>
      </x:c>
    </x:row>
    <x:row r="110">
      <x:c r="A110" s="80" t="n">
        <x:v>1</x:v>
      </x:c>
      <x:c r="B110" s="52" t="str">
        <x:v>4624030</x:v>
      </x:c>
      <x:c r="C110" s="83" t="str">
        <x:v>Medium Dermacomfor 3 Kg</x:v>
      </x:c>
      <x:c r="D110" s="83" t="str">
        <x:v>Alimento balanceado y nutrición</x:v>
      </x:c>
      <x:c r="E110" s="83" t="str">
        <x:v>Dieta veterinaria</x:v>
      </x:c>
      <x:c r="F110" s="83" t="str">
        <x:v>Producto</x:v>
      </x:c>
      <x:c r="G110" s="83" t="str">
        <x:v>No</x:v>
      </x:c>
      <x:c r="H110" s="83" t="str"/>
      <x:c r="I110" s="81" t="n">
        <x:v>1</x:v>
      </x:c>
      <x:c r="J110" s="52" t="str">
        <x:v>Bolsa</x:v>
      </x:c>
      <x:c r="K110" s="82" t="n">
        <x:v>41906</x:v>
      </x:c>
      <x:c r="L110" s="82" t="n">
        <x:v>0</x:v>
      </x:c>
      <x:c r="M110" s="82" t="n">
        <x:v>41906</x:v>
      </x:c>
      <x:c r="N110" s="80" t="n">
        <x:v>173</x:v>
      </x:c>
    </x:row>
    <x:row r="111">
      <x:c r="A111" s="80" t="n">
        <x:v>1</x:v>
      </x:c>
      <x:c r="B111" s="52" t="str">
        <x:v>4623100</x:v>
      </x:c>
      <x:c r="C111" s="83" t="str">
        <x:v>Medium Weight Care 10 Kg</x:v>
      </x:c>
      <x:c r="D111" s="83" t="str">
        <x:v>Alimento balanceado y nutrición</x:v>
      </x:c>
      <x:c r="E111" s="83" t="str">
        <x:v>Dieta veterinaria</x:v>
      </x:c>
      <x:c r="F111" s="83" t="str">
        <x:v>Producto</x:v>
      </x:c>
      <x:c r="G111" s="83" t="str">
        <x:v>No</x:v>
      </x:c>
      <x:c r="H111" s="83" t="str"/>
      <x:c r="I111" s="81" t="n">
        <x:v>1</x:v>
      </x:c>
      <x:c r="J111" s="52" t="str">
        <x:v>Bolsa</x:v>
      </x:c>
      <x:c r="K111" s="82" t="n">
        <x:v>110925</x:v>
      </x:c>
      <x:c r="L111" s="82" t="n">
        <x:v>0</x:v>
      </x:c>
      <x:c r="M111" s="82" t="n">
        <x:v>110925</x:v>
      </x:c>
      <x:c r="N111" s="80" t="n">
        <x:v>175</x:v>
      </x:c>
    </x:row>
    <x:row r="112">
      <x:c r="A112" s="80" t="n">
        <x:v>1</x:v>
      </x:c>
      <x:c r="B112" s="52" t="str">
        <x:v>4453030</x:v>
      </x:c>
      <x:c r="C112" s="83" t="str">
        <x:v>Mini Weight Care Canine 3 Kg</x:v>
      </x:c>
      <x:c r="D112" s="83" t="str">
        <x:v>Alimento balanceado y nutrición</x:v>
      </x:c>
      <x:c r="E112" s="83" t="str">
        <x:v>Dieta veterinaria</x:v>
      </x:c>
      <x:c r="F112" s="83" t="str">
        <x:v>Producto</x:v>
      </x:c>
      <x:c r="G112" s="83" t="str">
        <x:v>No</x:v>
      </x:c>
      <x:c r="H112" s="83" t="str"/>
      <x:c r="I112" s="81" t="n">
        <x:v>1</x:v>
      </x:c>
      <x:c r="J112" s="52" t="str">
        <x:v>Bolsa</x:v>
      </x:c>
      <x:c r="K112" s="82" t="n">
        <x:v>49750</x:v>
      </x:c>
      <x:c r="L112" s="82" t="n">
        <x:v>0</x:v>
      </x:c>
      <x:c r="M112" s="82" t="n">
        <x:v>49750</x:v>
      </x:c>
      <x:c r="N112" s="80" t="n">
        <x:v>191</x:v>
      </x:c>
    </x:row>
    <x:row r="113">
      <x:c r="A113" s="80" t="n">
        <x:v>1</x:v>
      </x:c>
      <x:c r="B113" s="52" t="str">
        <x:v>25-04-12-03</x:v>
      </x:c>
      <x:c r="C113" s="83" t="str">
        <x:v>POUCH Sieger RECOVERY x 100 gr. EO</x:v>
      </x:c>
      <x:c r="D113" s="83" t="str">
        <x:v>Alimento balanceado y nutrición</x:v>
      </x:c>
      <x:c r="E113" s="83" t="str">
        <x:v>Dieta veterinaria</x:v>
      </x:c>
      <x:c r="F113" s="83" t="str">
        <x:v>Producto</x:v>
      </x:c>
      <x:c r="G113" s="83" t="str">
        <x:v>No</x:v>
      </x:c>
      <x:c r="H113" s="83" t="str"/>
      <x:c r="I113" s="81" t="n">
        <x:v>2</x:v>
      </x:c>
      <x:c r="J113" s="52" t="str">
        <x:v>Pouch</x:v>
      </x:c>
      <x:c r="K113" s="82" t="n">
        <x:v>7312.5</x:v>
      </x:c>
      <x:c r="L113" s="82" t="n">
        <x:v>0</x:v>
      </x:c>
      <x:c r="M113" s="82" t="n">
        <x:v>7312.5</x:v>
      </x:c>
      <x:c r="N113" s="80" t="n">
        <x:v>260</x:v>
      </x:c>
    </x:row>
    <x:row r="114">
      <x:c r="A114" s="80" t="n">
        <x:v>1</x:v>
      </x:c>
      <x:c r="B114" s="52" t="str">
        <x:v>4111012</x:v>
      </x:c>
      <x:c r="C114" s="83" t="str">
        <x:v>Relax Care Pouch x 85 Gr</x:v>
      </x:c>
      <x:c r="D114" s="83" t="str">
        <x:v>Alimento balanceado y nutrición</x:v>
      </x:c>
      <x:c r="E114" s="83" t="str">
        <x:v>Dieta veterinaria</x:v>
      </x:c>
      <x:c r="F114" s="83" t="str">
        <x:v>Producto</x:v>
      </x:c>
      <x:c r="G114" s="83" t="str">
        <x:v>No</x:v>
      </x:c>
      <x:c r="H114" s="83" t="str"/>
      <x:c r="I114" s="81" t="n">
        <x:v>1</x:v>
      </x:c>
      <x:c r="J114" s="52" t="str">
        <x:v>Pouch</x:v>
      </x:c>
      <x:c r="K114" s="82" t="n">
        <x:v>3650</x:v>
      </x:c>
      <x:c r="L114" s="82" t="n">
        <x:v>0</x:v>
      </x:c>
      <x:c r="M114" s="82" t="n">
        <x:v>3650</x:v>
      </x:c>
      <x:c r="N114" s="80" t="n">
        <x:v>276</x:v>
      </x:c>
    </x:row>
    <x:row r="115">
      <x:c r="A115" s="80" t="n">
        <x:v>1</x:v>
      </x:c>
      <x:c r="B115" s="52" t="str">
        <x:v>3400102</x:v>
      </x:c>
      <x:c r="C115" s="83" t="str">
        <x:v>Renal feline Pouch 85 Gr</x:v>
      </x:c>
      <x:c r="D115" s="83" t="str">
        <x:v>Alimento balanceado y nutrición</x:v>
      </x:c>
      <x:c r="E115" s="83" t="str">
        <x:v>Dieta veterinaria</x:v>
      </x:c>
      <x:c r="F115" s="83" t="str">
        <x:v>Producto</x:v>
      </x:c>
      <x:c r="G115" s="83" t="str">
        <x:v>No</x:v>
      </x:c>
      <x:c r="H115" s="83" t="str"/>
      <x:c r="I115" s="81" t="n">
        <x:v>3</x:v>
      </x:c>
      <x:c r="J115" s="52" t="str">
        <x:v>Pouch</x:v>
      </x:c>
      <x:c r="K115" s="82" t="n">
        <x:v>12105</x:v>
      </x:c>
      <x:c r="L115" s="82" t="n">
        <x:v>0</x:v>
      </x:c>
      <x:c r="M115" s="82" t="n">
        <x:v>12105</x:v>
      </x:c>
      <x:c r="N115" s="80" t="n">
        <x:v>277</x:v>
      </x:c>
    </x:row>
    <x:row r="116">
      <x:c r="A116" s="80" t="n">
        <x:v>1</x:v>
      </x:c>
      <x:c r="B116" s="52" t="str">
        <x:v>3916015</x:v>
      </x:c>
      <x:c r="C116" s="83" t="str">
        <x:v>Renal Support Canine 1,5 Kg</x:v>
      </x:c>
      <x:c r="D116" s="83" t="str">
        <x:v>Alimento balanceado y nutrición</x:v>
      </x:c>
      <x:c r="E116" s="83" t="str">
        <x:v>Dieta veterinaria</x:v>
      </x:c>
      <x:c r="F116" s="83" t="str">
        <x:v>Producto</x:v>
      </x:c>
      <x:c r="G116" s="83" t="str">
        <x:v>No</x:v>
      </x:c>
      <x:c r="H116" s="83" t="str"/>
      <x:c r="I116" s="81" t="n">
        <x:v>1</x:v>
      </x:c>
      <x:c r="J116" s="52" t="str">
        <x:v>Bolsa</x:v>
      </x:c>
      <x:c r="K116" s="82" t="n">
        <x:v>22550</x:v>
      </x:c>
      <x:c r="L116" s="82" t="n">
        <x:v>0</x:v>
      </x:c>
      <x:c r="M116" s="82" t="n">
        <x:v>22550</x:v>
      </x:c>
      <x:c r="N116" s="80" t="n">
        <x:v>278</x:v>
      </x:c>
    </x:row>
    <x:row r="117">
      <x:c r="A117" s="80" t="n">
        <x:v>1</x:v>
      </x:c>
      <x:c r="B117" s="52" t="str">
        <x:v>2073015</x:v>
      </x:c>
      <x:c r="C117" s="83" t="str">
        <x:v>Satiety Canine 1,5 Kg</x:v>
      </x:c>
      <x:c r="D117" s="83" t="str">
        <x:v>Alimento balanceado y nutrición</x:v>
      </x:c>
      <x:c r="E117" s="83" t="str">
        <x:v>Dieta veterinaria</x:v>
      </x:c>
      <x:c r="F117" s="83" t="str">
        <x:v>Producto</x:v>
      </x:c>
      <x:c r="G117" s="83" t="str">
        <x:v>No</x:v>
      </x:c>
      <x:c r="H117" s="83" t="str"/>
      <x:c r="I117" s="81" t="n">
        <x:v>1</x:v>
      </x:c>
      <x:c r="J117" s="52" t="str">
        <x:v>Bolsa</x:v>
      </x:c>
      <x:c r="K117" s="82" t="n">
        <x:v>0</x:v>
      </x:c>
      <x:c r="L117" s="82" t="n">
        <x:v>0</x:v>
      </x:c>
      <x:c r="M117" s="82" t="n">
        <x:v>0</x:v>
      </x:c>
      <x:c r="N117" s="80" t="n">
        <x:v>288</x:v>
      </x:c>
    </x:row>
    <x:row r="118">
      <x:c r="A118" s="80" t="n">
        <x:v>1</x:v>
      </x:c>
      <x:c r="B118" s="52" t="str">
        <x:v>2126015</x:v>
      </x:c>
      <x:c r="C118" s="83" t="str">
        <x:v>Satiety Support Feline 1,5 Kg</x:v>
      </x:c>
      <x:c r="D118" s="83" t="str">
        <x:v>Alimento balanceado y nutrición</x:v>
      </x:c>
      <x:c r="E118" s="83" t="str">
        <x:v>Dieta veterinaria</x:v>
      </x:c>
      <x:c r="F118" s="83" t="str">
        <x:v>Producto</x:v>
      </x:c>
      <x:c r="G118" s="83" t="str">
        <x:v>No</x:v>
      </x:c>
      <x:c r="H118" s="83" t="str"/>
      <x:c r="I118" s="81" t="n">
        <x:v>3</x:v>
      </x:c>
      <x:c r="J118" s="52" t="str">
        <x:v>Bolsa</x:v>
      </x:c>
      <x:c r="K118" s="82" t="n">
        <x:v>95317.5</x:v>
      </x:c>
      <x:c r="L118" s="82" t="n">
        <x:v>0</x:v>
      </x:c>
      <x:c r="M118" s="82" t="n">
        <x:v>95317.5</x:v>
      </x:c>
      <x:c r="N118" s="80" t="n">
        <x:v>289</x:v>
      </x:c>
    </x:row>
    <x:row r="119">
      <x:c r="A119" s="80" t="n">
        <x:v>1</x:v>
      </x:c>
      <x:c r="B119" s="52" t="str">
        <x:v>25-04-12-02</x:v>
      </x:c>
      <x:c r="C119" s="83" t="str">
        <x:v>SIEGER RECOVERY X 340 GRAMOS</x:v>
      </x:c>
      <x:c r="D119" s="83" t="str">
        <x:v>Alimento balanceado y nutrición</x:v>
      </x:c>
      <x:c r="E119" s="83" t="str">
        <x:v>Dieta veterinaria</x:v>
      </x:c>
      <x:c r="F119" s="83" t="str">
        <x:v>Producto</x:v>
      </x:c>
      <x:c r="G119" s="83" t="str">
        <x:v>No</x:v>
      </x:c>
      <x:c r="H119" s="83" t="str"/>
      <x:c r="I119" s="81" t="n">
        <x:v>4</x:v>
      </x:c>
      <x:c r="J119" s="52" t="str">
        <x:v>Lata</x:v>
      </x:c>
      <x:c r="K119" s="82" t="n">
        <x:v>36855</x:v>
      </x:c>
      <x:c r="L119" s="82" t="n">
        <x:v>0</x:v>
      </x:c>
      <x:c r="M119" s="82" t="n">
        <x:v>36855</x:v>
      </x:c>
      <x:c r="N119" s="80" t="n">
        <x:v>293</x:v>
      </x:c>
    </x:row>
    <x:row r="120">
      <x:c r="A120" s="80" t="n">
        <x:v>1</x:v>
      </x:c>
      <x:c r="B120" s="52" t="str">
        <x:v>03-19-01-26</x:v>
      </x:c>
      <x:c r="C120" s="83" t="str">
        <x:v>SIEGER ULTRA Osteoarticular x 1,5 kg</x:v>
      </x:c>
      <x:c r="D120" s="83" t="str">
        <x:v>Alimento balanceado y nutrición</x:v>
      </x:c>
      <x:c r="E120" s="83" t="str">
        <x:v>Dieta veterinaria</x:v>
      </x:c>
      <x:c r="F120" s="83" t="str">
        <x:v>Producto</x:v>
      </x:c>
      <x:c r="G120" s="83" t="str">
        <x:v>No</x:v>
      </x:c>
      <x:c r="H120" s="83" t="str"/>
      <x:c r="I120" s="81" t="n">
        <x:v>4</x:v>
      </x:c>
      <x:c r="J120" s="52" t="str">
        <x:v>Bolsa</x:v>
      </x:c>
      <x:c r="K120" s="82" t="n">
        <x:v>90000</x:v>
      </x:c>
      <x:c r="L120" s="82" t="n">
        <x:v>0</x:v>
      </x:c>
      <x:c r="M120" s="82" t="n">
        <x:v>90000</x:v>
      </x:c>
      <x:c r="N120" s="80" t="n">
        <x:v>294</x:v>
      </x:c>
    </x:row>
    <x:row r="121">
      <x:c r="A121" s="80" t="n">
        <x:v>1</x:v>
      </x:c>
      <x:c r="B121" s="52" t="str">
        <x:v>1800015</x:v>
      </x:c>
      <x:c r="C121" s="83" t="str">
        <x:v>Urinary Care 1,5Kg</x:v>
      </x:c>
      <x:c r="D121" s="83" t="str">
        <x:v>Alimento balanceado y nutrición</x:v>
      </x:c>
      <x:c r="E121" s="83" t="str">
        <x:v>Dieta veterinaria</x:v>
      </x:c>
      <x:c r="F121" s="83" t="str">
        <x:v>Producto</x:v>
      </x:c>
      <x:c r="G121" s="83" t="str">
        <x:v>No</x:v>
      </x:c>
      <x:c r="H121" s="83" t="str"/>
      <x:c r="I121" s="81" t="n">
        <x:v>1</x:v>
      </x:c>
      <x:c r="J121" s="52" t="str">
        <x:v>Bolsa</x:v>
      </x:c>
      <x:c r="K121" s="82" t="n">
        <x:v>31725</x:v>
      </x:c>
      <x:c r="L121" s="82" t="n">
        <x:v>0</x:v>
      </x:c>
      <x:c r="M121" s="82" t="n">
        <x:v>31725</x:v>
      </x:c>
      <x:c r="N121" s="80" t="n">
        <x:v>314</x:v>
      </x:c>
    </x:row>
    <x:row r="122">
      <x:c r="A122" s="80" t="n">
        <x:v>1</x:v>
      </x:c>
      <x:c r="B122" s="52" t="str">
        <x:v>2210004</x:v>
      </x:c>
      <x:c r="C122" s="83" t="str">
        <x:v>Urinary S/O HD 400 Gr</x:v>
      </x:c>
      <x:c r="D122" s="83" t="str">
        <x:v>Alimento balanceado y nutrición</x:v>
      </x:c>
      <x:c r="E122" s="83" t="str">
        <x:v>Dieta veterinaria</x:v>
      </x:c>
      <x:c r="F122" s="83" t="str">
        <x:v>Producto</x:v>
      </x:c>
      <x:c r="G122" s="83" t="str">
        <x:v>No</x:v>
      </x:c>
      <x:c r="H122" s="83" t="str"/>
      <x:c r="I122" s="81" t="n">
        <x:v>1</x:v>
      </x:c>
      <x:c r="J122" s="52" t="str">
        <x:v>Bolsa</x:v>
      </x:c>
      <x:c r="K122" s="82" t="n">
        <x:v>12700</x:v>
      </x:c>
      <x:c r="L122" s="82" t="n">
        <x:v>0</x:v>
      </x:c>
      <x:c r="M122" s="82" t="n">
        <x:v>12700</x:v>
      </x:c>
      <x:c r="N122" s="80" t="n">
        <x:v>315</x:v>
      </x:c>
    </x:row>
    <x:row r="123">
      <x:c r="A123" s="80" t="n">
        <x:v>1</x:v>
      </x:c>
      <x:c r="B123" s="52" t="str">
        <x:v>330</x:v>
      </x:c>
      <x:c r="C123" s="83" t="str">
        <x:v>Bocaditos Finos 20 x 100 Gr(Carne/Pollo/Chocolate)</x:v>
      </x:c>
      <x:c r="D123" s="83" t="str">
        <x:v>Alimento balanceado y nutrición</x:v>
      </x:c>
      <x:c r="E123" s="83" t="str">
        <x:v>Snacks y premios</x:v>
      </x:c>
      <x:c r="F123" s="83" t="str">
        <x:v>Producto</x:v>
      </x:c>
      <x:c r="G123" s="83" t="str">
        <x:v>No</x:v>
      </x:c>
      <x:c r="H123" s="83" t="str"/>
      <x:c r="I123" s="81" t="n">
        <x:v>8</x:v>
      </x:c>
      <x:c r="J123" s="52" t="str">
        <x:v>100 Gr</x:v>
      </x:c>
      <x:c r="K123" s="82" t="n">
        <x:v>31200</x:v>
      </x:c>
      <x:c r="L123" s="82" t="n">
        <x:v>0</x:v>
      </x:c>
      <x:c r="M123" s="82" t="n">
        <x:v>31200</x:v>
      </x:c>
      <x:c r="N123" s="80" t="n">
        <x:v>39</x:v>
      </x:c>
    </x:row>
    <x:row r="124">
      <x:c r="A124" s="80" t="n">
        <x:v>1</x:v>
      </x:c>
      <x:c r="B124" s="52" t="str">
        <x:v>60015031</x:v>
      </x:c>
      <x:c r="C124" s="83" t="str">
        <x:v>EUK TRAINING TREATS 100g</x:v>
      </x:c>
      <x:c r="D124" s="83" t="str">
        <x:v>Alimento balanceado y nutrición</x:v>
      </x:c>
      <x:c r="E124" s="83" t="str">
        <x:v>Snacks y premios</x:v>
      </x:c>
      <x:c r="F124" s="83" t="str">
        <x:v>Producto</x:v>
      </x:c>
      <x:c r="G124" s="83" t="str">
        <x:v>No</x:v>
      </x:c>
      <x:c r="H124" s="83" t="str"/>
      <x:c r="I124" s="81" t="n">
        <x:v>2</x:v>
      </x:c>
      <x:c r="J124" s="52" t="str">
        <x:v>Bolsa</x:v>
      </x:c>
      <x:c r="K124" s="82" t="n">
        <x:v>9467.5</x:v>
      </x:c>
      <x:c r="L124" s="82" t="n">
        <x:v>0</x:v>
      </x:c>
      <x:c r="M124" s="82" t="n">
        <x:v>9467.5</x:v>
      </x:c>
      <x:c r="N124" s="80" t="n">
        <x:v>108</x:v>
      </x:c>
    </x:row>
    <x:row r="125">
      <x:c r="A125" s="80" t="n">
        <x:v>1</x:v>
      </x:c>
      <x:c r="B125" s="52" t="str">
        <x:v>12530197</x:v>
      </x:c>
      <x:c r="C125" s="83" t="str">
        <x:v>Femur</x:v>
      </x:c>
      <x:c r="D125" s="83" t="str">
        <x:v>Alimento balanceado y nutrición</x:v>
      </x:c>
      <x:c r="E125" s="83" t="str">
        <x:v>Snacks y premios</x:v>
      </x:c>
      <x:c r="F125" s="83" t="str">
        <x:v>Producto</x:v>
      </x:c>
      <x:c r="G125" s="83" t="str">
        <x:v>No</x:v>
      </x:c>
      <x:c r="H125" s="83" t="str"/>
      <x:c r="I125" s="81" t="n">
        <x:v>3</x:v>
      </x:c>
      <x:c r="J125" s="52" t="str"/>
      <x:c r="K125" s="82" t="n">
        <x:v>7500</x:v>
      </x:c>
      <x:c r="L125" s="82" t="n">
        <x:v>0</x:v>
      </x:c>
      <x:c r="M125" s="82" t="n">
        <x:v>7500</x:v>
      </x:c>
      <x:c r="N125" s="80" t="n">
        <x:v>119</x:v>
      </x:c>
    </x:row>
    <x:row r="126">
      <x:c r="A126" s="80" t="n">
        <x:v>1</x:v>
      </x:c>
      <x:c r="B126" s="52" t="str">
        <x:v>S01002</x:v>
      </x:c>
      <x:c r="C126" s="83" t="str">
        <x:v>Grilled Beef Flavored Churrasquitos Grillé 75 gr</x:v>
      </x:c>
      <x:c r="D126" s="83" t="str">
        <x:v>Alimento balanceado y nutrición</x:v>
      </x:c>
      <x:c r="E126" s="83" t="str">
        <x:v>Snacks y premios</x:v>
      </x:c>
      <x:c r="F126" s="83" t="str">
        <x:v>Producto</x:v>
      </x:c>
      <x:c r="G126" s="83" t="str">
        <x:v>No</x:v>
      </x:c>
      <x:c r="H126" s="83" t="str"/>
      <x:c r="I126" s="81" t="n">
        <x:v>8</x:v>
      </x:c>
      <x:c r="J126" s="52" t="str">
        <x:v>und</x:v>
      </x:c>
      <x:c r="K126" s="82" t="n">
        <x:v>24800</x:v>
      </x:c>
      <x:c r="L126" s="82" t="n">
        <x:v>0</x:v>
      </x:c>
      <x:c r="M126" s="82" t="n">
        <x:v>24800</x:v>
      </x:c>
      <x:c r="N126" s="80" t="n">
        <x:v>144</x:v>
      </x:c>
    </x:row>
    <x:row r="127">
      <x:c r="A127" s="80" t="n">
        <x:v>1</x:v>
      </x:c>
      <x:c r="B127" s="52" t="str">
        <x:v>S02002</x:v>
      </x:c>
      <x:c r="C127" s="83" t="str">
        <x:v>Grilled Chicken Flavored Pollo Grillé 75 gr</x:v>
      </x:c>
      <x:c r="D127" s="83" t="str">
        <x:v>Alimento balanceado y nutrición</x:v>
      </x:c>
      <x:c r="E127" s="83" t="str">
        <x:v>Snacks y premios</x:v>
      </x:c>
      <x:c r="F127" s="83" t="str">
        <x:v>Producto</x:v>
      </x:c>
      <x:c r="G127" s="83" t="str">
        <x:v>No</x:v>
      </x:c>
      <x:c r="H127" s="83" t="str"/>
      <x:c r="I127" s="81" t="n">
        <x:v>10</x:v>
      </x:c>
      <x:c r="J127" s="52" t="str">
        <x:v>und</x:v>
      </x:c>
      <x:c r="K127" s="82" t="n">
        <x:v>28520</x:v>
      </x:c>
      <x:c r="L127" s="82" t="n">
        <x:v>0</x:v>
      </x:c>
      <x:c r="M127" s="82" t="n">
        <x:v>28520</x:v>
      </x:c>
      <x:c r="N127" s="80" t="n">
        <x:v>145</x:v>
      </x:c>
    </x:row>
    <x:row r="128">
      <x:c r="A128" s="80" t="n">
        <x:v>1</x:v>
      </x:c>
      <x:c r="B128" s="52" t="str">
        <x:v>12530198</x:v>
      </x:c>
      <x:c r="C128" s="83" t="str">
        <x:v>Higado</x:v>
      </x:c>
      <x:c r="D128" s="83" t="str">
        <x:v>Alimento balanceado y nutrición</x:v>
      </x:c>
      <x:c r="E128" s="83" t="str">
        <x:v>Snacks y premios</x:v>
      </x:c>
      <x:c r="F128" s="83" t="str">
        <x:v>Producto</x:v>
      </x:c>
      <x:c r="G128" s="83" t="str">
        <x:v>No</x:v>
      </x:c>
      <x:c r="H128" s="83" t="str"/>
      <x:c r="I128" s="81" t="n">
        <x:v>1</x:v>
      </x:c>
      <x:c r="J128" s="52" t="str"/>
      <x:c r="K128" s="82" t="n">
        <x:v>5000</x:v>
      </x:c>
      <x:c r="L128" s="82" t="n">
        <x:v>0</x:v>
      </x:c>
      <x:c r="M128" s="82" t="n">
        <x:v>5000</x:v>
      </x:c>
      <x:c r="N128" s="80" t="n">
        <x:v>149</x:v>
      </x:c>
    </x:row>
    <x:row r="129">
      <x:c r="A129" s="80" t="n">
        <x:v>1</x:v>
      </x:c>
      <x:c r="B129" s="52" t="str">
        <x:v>S06012</x:v>
      </x:c>
      <x:c r="C129" s="83" t="str">
        <x:v>Meat Stick Chicken 150 g</x:v>
      </x:c>
      <x:c r="D129" s="83" t="str">
        <x:v>Alimento balanceado y nutrición</x:v>
      </x:c>
      <x:c r="E129" s="83" t="str">
        <x:v>Snacks y premios</x:v>
      </x:c>
      <x:c r="F129" s="83" t="str">
        <x:v>Producto</x:v>
      </x:c>
      <x:c r="G129" s="83" t="str">
        <x:v>No</x:v>
      </x:c>
      <x:c r="H129" s="83" t="str"/>
      <x:c r="I129" s="81" t="n">
        <x:v>3</x:v>
      </x:c>
      <x:c r="J129" s="52" t="str">
        <x:v>und</x:v>
      </x:c>
      <x:c r="K129" s="82" t="n">
        <x:v>16350</x:v>
      </x:c>
      <x:c r="L129" s="82" t="n">
        <x:v>0</x:v>
      </x:c>
      <x:c r="M129" s="82" t="n">
        <x:v>16350</x:v>
      </x:c>
      <x:c r="N129" s="80" t="n">
        <x:v>168</x:v>
      </x:c>
    </x:row>
    <x:row r="130">
      <x:c r="A130" s="80" t="n">
        <x:v>1</x:v>
      </x:c>
      <x:c r="B130" s="52" t="str">
        <x:v>S05012</x:v>
      </x:c>
      <x:c r="C130" s="83" t="str">
        <x:v>Meat Stick Lamb 150 g</x:v>
      </x:c>
      <x:c r="D130" s="83" t="str">
        <x:v>Alimento balanceado y nutrición</x:v>
      </x:c>
      <x:c r="E130" s="83" t="str">
        <x:v>Snacks y premios</x:v>
      </x:c>
      <x:c r="F130" s="83" t="str">
        <x:v>Producto</x:v>
      </x:c>
      <x:c r="G130" s="83" t="str">
        <x:v>No</x:v>
      </x:c>
      <x:c r="H130" s="83" t="str"/>
      <x:c r="I130" s="81" t="n">
        <x:v>5</x:v>
      </x:c>
      <x:c r="J130" s="52" t="str">
        <x:v>und</x:v>
      </x:c>
      <x:c r="K130" s="82" t="n">
        <x:v>27250</x:v>
      </x:c>
      <x:c r="L130" s="82" t="n">
        <x:v>0</x:v>
      </x:c>
      <x:c r="M130" s="82" t="n">
        <x:v>27250</x:v>
      </x:c>
      <x:c r="N130" s="80" t="n">
        <x:v>169</x:v>
      </x:c>
    </x:row>
    <x:row r="131">
      <x:c r="A131" s="80" t="n">
        <x:v>1</x:v>
      </x:c>
      <x:c r="B131" s="52" t="str"/>
      <x:c r="C131" s="83" t="str">
        <x:v>Mon ami snack chicken 50 grs</x:v>
      </x:c>
      <x:c r="D131" s="83" t="str">
        <x:v>Alimento balanceado y nutrición</x:v>
      </x:c>
      <x:c r="E131" s="83" t="str">
        <x:v>Snacks y premios</x:v>
      </x:c>
      <x:c r="F131" s="83" t="str">
        <x:v>Producto</x:v>
      </x:c>
      <x:c r="G131" s="83" t="str">
        <x:v>No</x:v>
      </x:c>
      <x:c r="H131" s="83" t="str"/>
      <x:c r="I131" s="81" t="n">
        <x:v>2</x:v>
      </x:c>
      <x:c r="J131" s="52" t="str"/>
      <x:c r="K131" s="82" t="n">
        <x:v>5800</x:v>
      </x:c>
      <x:c r="L131" s="82" t="n">
        <x:v>0</x:v>
      </x:c>
      <x:c r="M131" s="82" t="n">
        <x:v>5800</x:v>
      </x:c>
      <x:c r="N131" s="80" t="n">
        <x:v>193</x:v>
      </x:c>
    </x:row>
    <x:row r="132">
      <x:c r="A132" s="80" t="n">
        <x:v>1</x:v>
      </x:c>
      <x:c r="B132" s="52" t="str">
        <x:v>9501132017232</x:v>
      </x:c>
      <x:c r="C132" s="83" t="str">
        <x:v>MORDISQUITO HIGADO DE POLLO 60 GRAMOS</x:v>
      </x:c>
      <x:c r="D132" s="83" t="str">
        <x:v>Alimento balanceado y nutrición</x:v>
      </x:c>
      <x:c r="E132" s="83" t="str">
        <x:v>Snacks y premios</x:v>
      </x:c>
      <x:c r="F132" s="83" t="str">
        <x:v>Producto</x:v>
      </x:c>
      <x:c r="G132" s="83" t="str">
        <x:v>No</x:v>
      </x:c>
      <x:c r="H132" s="83" t="str"/>
      <x:c r="I132" s="81" t="n">
        <x:v>3</x:v>
      </x:c>
      <x:c r="J132" s="52" t="str"/>
      <x:c r="K132" s="82" t="n">
        <x:v>15000</x:v>
      </x:c>
      <x:c r="L132" s="82" t="n">
        <x:v>0</x:v>
      </x:c>
      <x:c r="M132" s="82" t="n">
        <x:v>15000</x:v>
      </x:c>
      <x:c r="N132" s="80" t="n">
        <x:v>194</x:v>
      </x:c>
    </x:row>
    <x:row r="133">
      <x:c r="A133" s="80" t="n">
        <x:v>1</x:v>
      </x:c>
      <x:c r="B133" s="52" t="str"/>
      <x:c r="C133" s="83" t="str">
        <x:v>MORDISQUITO PECHUGA X 60 GAMOS</x:v>
      </x:c>
      <x:c r="D133" s="83" t="str">
        <x:v>Alimento balanceado y nutrición</x:v>
      </x:c>
      <x:c r="E133" s="83" t="str">
        <x:v>Snacks y premios</x:v>
      </x:c>
      <x:c r="F133" s="83" t="str">
        <x:v>Producto</x:v>
      </x:c>
      <x:c r="G133" s="83" t="str">
        <x:v>No</x:v>
      </x:c>
      <x:c r="H133" s="83" t="str"/>
      <x:c r="I133" s="81" t="n">
        <x:v>1</x:v>
      </x:c>
      <x:c r="J133" s="52" t="str"/>
      <x:c r="K133" s="82" t="n">
        <x:v>6600</x:v>
      </x:c>
      <x:c r="L133" s="82" t="n">
        <x:v>0</x:v>
      </x:c>
      <x:c r="M133" s="82" t="n">
        <x:v>6600</x:v>
      </x:c>
      <x:c r="N133" s="80" t="n">
        <x:v>195</x:v>
      </x:c>
    </x:row>
    <x:row r="134">
      <x:c r="A134" s="80" t="n">
        <x:v>1</x:v>
      </x:c>
      <x:c r="B134" s="52" t="str">
        <x:v>9501132017234</x:v>
      </x:c>
      <x:c r="C134" s="83" t="str">
        <x:v>MORDISQUITOS COGOTE DE POLLO X 60 GRAMOS</x:v>
      </x:c>
      <x:c r="D134" s="83" t="str">
        <x:v>Alimento balanceado y nutrición</x:v>
      </x:c>
      <x:c r="E134" s="83" t="str">
        <x:v>Snacks y premios</x:v>
      </x:c>
      <x:c r="F134" s="83" t="str">
        <x:v>Producto</x:v>
      </x:c>
      <x:c r="G134" s="83" t="str">
        <x:v>No</x:v>
      </x:c>
      <x:c r="H134" s="83" t="str"/>
      <x:c r="I134" s="81" t="n">
        <x:v>3</x:v>
      </x:c>
      <x:c r="J134" s="52" t="str"/>
      <x:c r="K134" s="82" t="n">
        <x:v>13500</x:v>
      </x:c>
      <x:c r="L134" s="82" t="n">
        <x:v>0</x:v>
      </x:c>
      <x:c r="M134" s="82" t="n">
        <x:v>13500</x:v>
      </x:c>
      <x:c r="N134" s="80" t="n">
        <x:v>196</x:v>
      </x:c>
    </x:row>
    <x:row r="135">
      <x:c r="A135" s="80" t="n">
        <x:v>1</x:v>
      </x:c>
      <x:c r="B135" s="52" t="str">
        <x:v>12530196</x:v>
      </x:c>
      <x:c r="C135" s="83" t="str">
        <x:v>Orejas De Cochino</x:v>
      </x:c>
      <x:c r="D135" s="83" t="str">
        <x:v>Alimento balanceado y nutrición</x:v>
      </x:c>
      <x:c r="E135" s="83" t="str">
        <x:v>Snacks y premios</x:v>
      </x:c>
      <x:c r="F135" s="83" t="str">
        <x:v>Producto</x:v>
      </x:c>
      <x:c r="G135" s="83" t="str">
        <x:v>No</x:v>
      </x:c>
      <x:c r="H135" s="83" t="str"/>
      <x:c r="I135" s="81" t="n">
        <x:v>33</x:v>
      </x:c>
      <x:c r="J135" s="52" t="str"/>
      <x:c r="K135" s="82" t="n">
        <x:v>53515</x:v>
      </x:c>
      <x:c r="L135" s="82" t="n">
        <x:v>0</x:v>
      </x:c>
      <x:c r="M135" s="82" t="n">
        <x:v>53515</x:v>
      </x:c>
      <x:c r="N135" s="80" t="n">
        <x:v>216</x:v>
      </x:c>
    </x:row>
    <x:row r="136">
      <x:c r="A136" s="80" t="n">
        <x:v>1</x:v>
      </x:c>
      <x:c r="B136" s="52" t="str"/>
      <x:c r="C136" s="83" t="str">
        <x:v>ROLL DE CARNE X 3 UNIDADES</x:v>
      </x:c>
      <x:c r="D136" s="83" t="str">
        <x:v>Alimento balanceado y nutrición</x:v>
      </x:c>
      <x:c r="E136" s="83" t="str">
        <x:v>Snacks y premios</x:v>
      </x:c>
      <x:c r="F136" s="83" t="str">
        <x:v>Producto</x:v>
      </x:c>
      <x:c r="G136" s="83" t="str">
        <x:v>No</x:v>
      </x:c>
      <x:c r="H136" s="83" t="str"/>
      <x:c r="I136" s="81" t="n">
        <x:v>1</x:v>
      </x:c>
      <x:c r="J136" s="52" t="str"/>
      <x:c r="K136" s="82" t="n">
        <x:v>5220</x:v>
      </x:c>
      <x:c r="L136" s="82" t="n">
        <x:v>0</x:v>
      </x:c>
      <x:c r="M136" s="82" t="n">
        <x:v>5220</x:v>
      </x:c>
      <x:c r="N136" s="80" t="n">
        <x:v>282</x:v>
      </x:c>
    </x:row>
    <x:row r="137">
      <x:c r="A137" s="80" t="n">
        <x:v>2</x:v>
      </x:c>
      <x:c r="B137" s="52" t="str"/>
      <x:c r="C137" s="83" t="str">
        <x:v>CIPROVET L.A. FCO. X 5 ML</x:v>
      </x:c>
      <x:c r="D137" s="83" t="str">
        <x:v>Medicina veterinaria</x:v>
      </x:c>
      <x:c r="E137" s="83" t="str">
        <x:v>Antibióticos y antimicrobianos</x:v>
      </x:c>
      <x:c r="F137" s="83" t="str">
        <x:v>Producto</x:v>
      </x:c>
      <x:c r="G137" s="83" t="str">
        <x:v>No</x:v>
      </x:c>
      <x:c r="H137" s="83" t="str"/>
      <x:c r="I137" s="81" t="n">
        <x:v>1</x:v>
      </x:c>
      <x:c r="J137" s="52" t="str">
        <x:v>5 ml</x:v>
      </x:c>
      <x:c r="K137" s="82" t="n">
        <x:v>30100</x:v>
      </x:c>
      <x:c r="L137" s="82" t="n">
        <x:v>0</x:v>
      </x:c>
      <x:c r="M137" s="82" t="n">
        <x:v>30100</x:v>
      </x:c>
      <x:c r="N137" s="80" t="n">
        <x:v>51</x:v>
      </x:c>
    </x:row>
    <x:row r="138">
      <x:c r="A138" s="80" t="n">
        <x:v>2</x:v>
      </x:c>
      <x:c r="B138" s="52" t="str"/>
      <x:c r="C138" s="83" t="str">
        <x:v>ENROFLOXACINA LAMAR 50 MG X 120C</x:v>
      </x:c>
      <x:c r="D138" s="83" t="str">
        <x:v>Medicina veterinaria</x:v>
      </x:c>
      <x:c r="E138" s="83" t="str">
        <x:v>Antibióticos y antimicrobianos</x:v>
      </x:c>
      <x:c r="F138" s="83" t="str">
        <x:v>Producto</x:v>
      </x:c>
      <x:c r="G138" s="83" t="str">
        <x:v>No</x:v>
      </x:c>
      <x:c r="H138" s="83" t="str"/>
      <x:c r="I138" s="81" t="n">
        <x:v>1</x:v>
      </x:c>
      <x:c r="J138" s="52" t="str">
        <x:v>120 comp</x:v>
      </x:c>
      <x:c r="K138" s="82" t="n">
        <x:v>4350</x:v>
      </x:c>
      <x:c r="L138" s="82" t="n">
        <x:v>0</x:v>
      </x:c>
      <x:c r="M138" s="82" t="n">
        <x:v>4350</x:v>
      </x:c>
      <x:c r="N138" s="80" t="n">
        <x:v>92</x:v>
      </x:c>
    </x:row>
    <x:row r="139">
      <x:c r="A139" s="80" t="n">
        <x:v>2</x:v>
      </x:c>
      <x:c r="B139" s="52" t="str"/>
      <x:c r="C139" s="83" t="str">
        <x:v>RUMICLAMOX 250 MG</x:v>
      </x:c>
      <x:c r="D139" s="83" t="str">
        <x:v>Medicina veterinaria</x:v>
      </x:c>
      <x:c r="E139" s="83" t="str">
        <x:v>Antibióticos y antimicrobianos</x:v>
      </x:c>
      <x:c r="F139" s="83" t="str">
        <x:v>Producto</x:v>
      </x:c>
      <x:c r="G139" s="83" t="str">
        <x:v>No</x:v>
      </x:c>
      <x:c r="H139" s="83" t="str"/>
      <x:c r="I139" s="81" t="n">
        <x:v>10</x:v>
      </x:c>
      <x:c r="J139" s="52" t="str">
        <x:v>100comp</x:v>
      </x:c>
      <x:c r="K139" s="82" t="n">
        <x:v>111000</x:v>
      </x:c>
      <x:c r="L139" s="82" t="n">
        <x:v>0</x:v>
      </x:c>
      <x:c r="M139" s="82" t="n">
        <x:v>111000</x:v>
      </x:c>
      <x:c r="N139" s="80" t="n">
        <x:v>287</x:v>
      </x:c>
    </x:row>
    <x:row r="140">
      <x:c r="A140" s="80" t="n">
        <x:v>2</x:v>
      </x:c>
      <x:c r="B140" s="52" t="str"/>
      <x:c r="C140" s="83" t="str">
        <x:v>SULFATRIM X 100 COMP</x:v>
      </x:c>
      <x:c r="D140" s="83" t="str">
        <x:v>Medicina veterinaria</x:v>
      </x:c>
      <x:c r="E140" s="83" t="str">
        <x:v>Antibióticos y antimicrobianos</x:v>
      </x:c>
      <x:c r="F140" s="83" t="str">
        <x:v>Producto</x:v>
      </x:c>
      <x:c r="G140" s="83" t="str">
        <x:v>No</x:v>
      </x:c>
      <x:c r="H140" s="83" t="str"/>
      <x:c r="I140" s="81" t="n">
        <x:v>3</x:v>
      </x:c>
      <x:c r="J140" s="52" t="str">
        <x:v>Blister</x:v>
      </x:c>
      <x:c r="K140" s="82" t="n">
        <x:v>15345</x:v>
      </x:c>
      <x:c r="L140" s="82" t="n">
        <x:v>0</x:v>
      </x:c>
      <x:c r="M140" s="82" t="n">
        <x:v>15345</x:v>
      </x:c>
      <x:c r="N140" s="80" t="n">
        <x:v>301</x:v>
      </x:c>
    </x:row>
    <x:row r="141">
      <x:c r="A141" s="80" t="n">
        <x:v>2</x:v>
      </x:c>
      <x:c r="B141" s="52" t="str"/>
      <x:c r="C141" s="83" t="str">
        <x:v>APRAX RAZA MEDIANA X 60 COMP HOSPIT</x:v>
      </x:c>
      <x:c r="D141" s="83" t="str">
        <x:v>Medicina veterinaria</x:v>
      </x:c>
      <x:c r="E141" s="83" t="str">
        <x:v>Antiparasitarios</x:v>
      </x:c>
      <x:c r="F141" s="83" t="str">
        <x:v>Producto</x:v>
      </x:c>
      <x:c r="G141" s="83" t="str">
        <x:v>No</x:v>
      </x:c>
      <x:c r="H141" s="83" t="str"/>
      <x:c r="I141" s="81" t="n">
        <x:v>6</x:v>
      </x:c>
      <x:c r="J141" s="52" t="str">
        <x:v>60 comp</x:v>
      </x:c>
      <x:c r="K141" s="82" t="n">
        <x:v>53100</x:v>
      </x:c>
      <x:c r="L141" s="82" t="n">
        <x:v>0</x:v>
      </x:c>
      <x:c r="M141" s="82" t="n">
        <x:v>53100</x:v>
      </x:c>
      <x:c r="N141" s="80" t="n">
        <x:v>19</x:v>
      </x:c>
    </x:row>
    <x:row r="142">
      <x:c r="A142" s="80" t="n">
        <x:v>2</x:v>
      </x:c>
      <x:c r="B142" s="52" t="str"/>
      <x:c r="C142" s="83" t="str">
        <x:v>APRAX SUSPENSION X 20 ML.</x:v>
      </x:c>
      <x:c r="D142" s="83" t="str">
        <x:v>Medicina veterinaria</x:v>
      </x:c>
      <x:c r="E142" s="83" t="str">
        <x:v>Antiparasitarios</x:v>
      </x:c>
      <x:c r="F142" s="83" t="str">
        <x:v>Producto</x:v>
      </x:c>
      <x:c r="G142" s="83" t="str">
        <x:v>No</x:v>
      </x:c>
      <x:c r="H142" s="83" t="str"/>
      <x:c r="I142" s="81" t="n">
        <x:v>3</x:v>
      </x:c>
      <x:c r="J142" s="52" t="str">
        <x:v>20 ml</x:v>
      </x:c>
      <x:c r="K142" s="82" t="n">
        <x:v>34050</x:v>
      </x:c>
      <x:c r="L142" s="82" t="n">
        <x:v>0</x:v>
      </x:c>
      <x:c r="M142" s="82" t="n">
        <x:v>34050</x:v>
      </x:c>
      <x:c r="N142" s="80" t="n">
        <x:v>20</x:v>
      </x:c>
    </x:row>
    <x:row r="143">
      <x:c r="A143" s="80" t="n">
        <x:v>2</x:v>
      </x:c>
      <x:c r="B143" s="52" t="str">
        <x:v>2272</x:v>
      </x:c>
      <x:c r="C143" s="83" t="str">
        <x:v>BRAVECTO 10 A 20 Kg</x:v>
      </x:c>
      <x:c r="D143" s="83" t="str">
        <x:v>Medicina veterinaria</x:v>
      </x:c>
      <x:c r="E143" s="83" t="str">
        <x:v>Antiparasitarios</x:v>
      </x:c>
      <x:c r="F143" s="83" t="str">
        <x:v>Producto</x:v>
      </x:c>
      <x:c r="G143" s="83" t="str">
        <x:v>No</x:v>
      </x:c>
      <x:c r="H143" s="83" t="str"/>
      <x:c r="I143" s="81" t="n">
        <x:v>2</x:v>
      </x:c>
      <x:c r="J143" s="52" t="str">
        <x:v>Caja</x:v>
      </x:c>
      <x:c r="K143" s="82" t="n">
        <x:v>112362</x:v>
      </x:c>
      <x:c r="L143" s="82" t="n">
        <x:v>0</x:v>
      </x:c>
      <x:c r="M143" s="82" t="n">
        <x:v>112362</x:v>
      </x:c>
      <x:c r="N143" s="80" t="n">
        <x:v>41</x:v>
      </x:c>
    </x:row>
    <x:row r="144">
      <x:c r="A144" s="80" t="n">
        <x:v>2</x:v>
      </x:c>
      <x:c r="B144" s="52" t="str"/>
      <x:c r="C144" s="83" t="str">
        <x:v>ECTHOL GMP GATOS H/5 KG.</x:v>
      </x:c>
      <x:c r="D144" s="83" t="str">
        <x:v>Medicina veterinaria</x:v>
      </x:c>
      <x:c r="E144" s="83" t="str">
        <x:v>Antiparasitarios</x:v>
      </x:c>
      <x:c r="F144" s="83" t="str">
        <x:v>Producto</x:v>
      </x:c>
      <x:c r="G144" s="83" t="str">
        <x:v>No</x:v>
      </x:c>
      <x:c r="H144" s="83" t="str"/>
      <x:c r="I144" s="81" t="n">
        <x:v>12</x:v>
      </x:c>
      <x:c r="J144" s="52" t="str">
        <x:v>und</x:v>
      </x:c>
      <x:c r="K144" s="82" t="n">
        <x:v>66757.5</x:v>
      </x:c>
      <x:c r="L144" s="82" t="n">
        <x:v>0</x:v>
      </x:c>
      <x:c r="M144" s="82" t="n">
        <x:v>66757.5</x:v>
      </x:c>
      <x:c r="N144" s="80" t="n">
        <x:v>85</x:v>
      </x:c>
    </x:row>
    <x:row r="145">
      <x:c r="A145" s="80" t="n">
        <x:v>2</x:v>
      </x:c>
      <x:c r="B145" s="52" t="str"/>
      <x:c r="C145" s="83" t="str">
        <x:v>ECTHOL GMP GATOS MAS DE 5 KG.</x:v>
      </x:c>
      <x:c r="D145" s="83" t="str">
        <x:v>Medicina veterinaria</x:v>
      </x:c>
      <x:c r="E145" s="83" t="str">
        <x:v>Antiparasitarios</x:v>
      </x:c>
      <x:c r="F145" s="83" t="str">
        <x:v>Producto</x:v>
      </x:c>
      <x:c r="G145" s="83" t="str">
        <x:v>No</x:v>
      </x:c>
      <x:c r="H145" s="83" t="str"/>
      <x:c r="I145" s="81" t="n">
        <x:v>10</x:v>
      </x:c>
      <x:c r="J145" s="52" t="str">
        <x:v>und</x:v>
      </x:c>
      <x:c r="K145" s="82" t="n">
        <x:v>62000</x:v>
      </x:c>
      <x:c r="L145" s="82" t="n">
        <x:v>0</x:v>
      </x:c>
      <x:c r="M145" s="82" t="n">
        <x:v>62000</x:v>
      </x:c>
      <x:c r="N145" s="80" t="n">
        <x:v>86</x:v>
      </x:c>
    </x:row>
    <x:row r="146">
      <x:c r="A146" s="80" t="n">
        <x:v>2</x:v>
      </x:c>
      <x:c r="B146" s="52" t="str">
        <x:v>2241</x:v>
      </x:c>
      <x:c r="C146" s="83" t="str">
        <x:v>ECTHOL X 70 ML</x:v>
      </x:c>
      <x:c r="D146" s="83" t="str">
        <x:v>Medicina veterinaria</x:v>
      </x:c>
      <x:c r="E146" s="83" t="str">
        <x:v>Antiparasitarios</x:v>
      </x:c>
      <x:c r="F146" s="83" t="str">
        <x:v>Producto</x:v>
      </x:c>
      <x:c r="G146" s="83" t="str">
        <x:v>No</x:v>
      </x:c>
      <x:c r="H146" s="83" t="str"/>
      <x:c r="I146" s="81" t="n">
        <x:v>1</x:v>
      </x:c>
      <x:c r="J146" s="52" t="str">
        <x:v>70 ml</x:v>
      </x:c>
      <x:c r="K146" s="82" t="n">
        <x:v>11800</x:v>
      </x:c>
      <x:c r="L146" s="82" t="n">
        <x:v>0</x:v>
      </x:c>
      <x:c r="M146" s="82" t="n">
        <x:v>11800</x:v>
      </x:c>
      <x:c r="N146" s="80" t="n">
        <x:v>87</x:v>
      </x:c>
    </x:row>
    <x:row r="147">
      <x:c r="A147" s="80" t="n">
        <x:v>2</x:v>
      </x:c>
      <x:c r="B147" s="52" t="str"/>
      <x:c r="C147" s="83" t="str">
        <x:v>ECTHOLANER 02 A 04 KG X 1 COMP. 270 MG</x:v>
      </x:c>
      <x:c r="D147" s="83" t="str">
        <x:v>Medicina veterinaria</x:v>
      </x:c>
      <x:c r="E147" s="83" t="str">
        <x:v>Antiparasitarios</x:v>
      </x:c>
      <x:c r="F147" s="83" t="str">
        <x:v>Producto</x:v>
      </x:c>
      <x:c r="G147" s="83" t="str">
        <x:v>No</x:v>
      </x:c>
      <x:c r="H147" s="83" t="str"/>
      <x:c r="I147" s="81" t="n">
        <x:v>1</x:v>
      </x:c>
      <x:c r="J147" s="52" t="str">
        <x:v>Caja</x:v>
      </x:c>
      <x:c r="K147" s="82" t="n">
        <x:v>23985</x:v>
      </x:c>
      <x:c r="L147" s="82" t="n">
        <x:v>0</x:v>
      </x:c>
      <x:c r="M147" s="82" t="n">
        <x:v>23985</x:v>
      </x:c>
      <x:c r="N147" s="80" t="n">
        <x:v>88</x:v>
      </x:c>
    </x:row>
    <x:row r="148">
      <x:c r="A148" s="80" t="n">
        <x:v>2</x:v>
      </x:c>
      <x:c r="B148" s="52" t="str"/>
      <x:c r="C148" s="83" t="str">
        <x:v>ECTHOLANER 04 A 10 KG X 1 COMP. 600 MG</x:v>
      </x:c>
      <x:c r="D148" s="83" t="str">
        <x:v>Medicina veterinaria</x:v>
      </x:c>
      <x:c r="E148" s="83" t="str">
        <x:v>Antiparasitarios</x:v>
      </x:c>
      <x:c r="F148" s="83" t="str">
        <x:v>Producto</x:v>
      </x:c>
      <x:c r="G148" s="83" t="str">
        <x:v>No</x:v>
      </x:c>
      <x:c r="H148" s="83" t="str"/>
      <x:c r="I148" s="81" t="n">
        <x:v>5</x:v>
      </x:c>
      <x:c r="J148" s="52" t="str">
        <x:v>Caja</x:v>
      </x:c>
      <x:c r="K148" s="82" t="n">
        <x:v>131130</x:v>
      </x:c>
      <x:c r="L148" s="82" t="n">
        <x:v>0</x:v>
      </x:c>
      <x:c r="M148" s="82" t="n">
        <x:v>131130</x:v>
      </x:c>
      <x:c r="N148" s="80" t="n">
        <x:v>89</x:v>
      </x:c>
    </x:row>
    <x:row r="149">
      <x:c r="A149" s="80" t="n">
        <x:v>2</x:v>
      </x:c>
      <x:c r="B149" s="52" t="str"/>
      <x:c r="C149" s="83" t="str">
        <x:v>ECTHOLANER 20 A 40 KG X 2 COMP. 1200 MG</x:v>
      </x:c>
      <x:c r="D149" s="83" t="str">
        <x:v>Medicina veterinaria</x:v>
      </x:c>
      <x:c r="E149" s="83" t="str">
        <x:v>Antiparasitarios</x:v>
      </x:c>
      <x:c r="F149" s="83" t="str">
        <x:v>Producto</x:v>
      </x:c>
      <x:c r="G149" s="83" t="str">
        <x:v>No</x:v>
      </x:c>
      <x:c r="H149" s="83" t="str"/>
      <x:c r="I149" s="81" t="n">
        <x:v>1</x:v>
      </x:c>
      <x:c r="J149" s="52" t="str">
        <x:v>Caja</x:v>
      </x:c>
      <x:c r="K149" s="82" t="n">
        <x:v>41400</x:v>
      </x:c>
      <x:c r="L149" s="82" t="n">
        <x:v>0</x:v>
      </x:c>
      <x:c r="M149" s="82" t="n">
        <x:v>41400</x:v>
      </x:c>
      <x:c r="N149" s="80" t="n">
        <x:v>90</x:v>
      </x:c>
    </x:row>
    <x:row r="150">
      <x:c r="A150" s="80" t="n">
        <x:v>2</x:v>
      </x:c>
      <x:c r="B150" s="52" t="str"/>
      <x:c r="C150" s="83" t="str">
        <x:v>FELINE FULLSPOT DE 2 A 5 KG</x:v>
      </x:c>
      <x:c r="D150" s="83" t="str">
        <x:v>Medicina veterinaria</x:v>
      </x:c>
      <x:c r="E150" s="83" t="str">
        <x:v>Antiparasitarios</x:v>
      </x:c>
      <x:c r="F150" s="83" t="str">
        <x:v>Producto</x:v>
      </x:c>
      <x:c r="G150" s="83" t="str">
        <x:v>No</x:v>
      </x:c>
      <x:c r="H150" s="83" t="str"/>
      <x:c r="I150" s="81" t="n">
        <x:v>1</x:v>
      </x:c>
      <x:c r="J150" s="52" t="str">
        <x:v>und</x:v>
      </x:c>
      <x:c r="K150" s="82" t="n">
        <x:v>23130</x:v>
      </x:c>
      <x:c r="L150" s="82" t="n">
        <x:v>0</x:v>
      </x:c>
      <x:c r="M150" s="82" t="n">
        <x:v>23130</x:v>
      </x:c>
      <x:c r="N150" s="80" t="n">
        <x:v>117</x:v>
      </x:c>
    </x:row>
    <x:row r="151">
      <x:c r="A151" s="80" t="n">
        <x:v>2</x:v>
      </x:c>
      <x:c r="B151" s="52" t="str"/>
      <x:c r="C151" s="83" t="str">
        <x:v>FELINE FULLSPOT MAS DE 5 KG</x:v>
      </x:c>
      <x:c r="D151" s="83" t="str">
        <x:v>Medicina veterinaria</x:v>
      </x:c>
      <x:c r="E151" s="83" t="str">
        <x:v>Antiparasitarios</x:v>
      </x:c>
      <x:c r="F151" s="83" t="str">
        <x:v>Producto</x:v>
      </x:c>
      <x:c r="G151" s="83" t="str">
        <x:v>No</x:v>
      </x:c>
      <x:c r="H151" s="83" t="str"/>
      <x:c r="I151" s="81" t="n">
        <x:v>1</x:v>
      </x:c>
      <x:c r="J151" s="52" t="str">
        <x:v>und</x:v>
      </x:c>
      <x:c r="K151" s="82" t="n">
        <x:v>27800</x:v>
      </x:c>
      <x:c r="L151" s="82" t="n">
        <x:v>0</x:v>
      </x:c>
      <x:c r="M151" s="82" t="n">
        <x:v>27800</x:v>
      </x:c>
      <x:c r="N151" s="80" t="n">
        <x:v>118</x:v>
      </x:c>
    </x:row>
    <x:row r="152">
      <x:c r="A152" s="80" t="n">
        <x:v>2</x:v>
      </x:c>
      <x:c r="B152" s="52" t="str"/>
      <x:c r="C152" s="83" t="str">
        <x:v>FRONTLINE PLUS GATO X 1 P.</x:v>
      </x:c>
      <x:c r="D152" s="83" t="str">
        <x:v>Medicina veterinaria</x:v>
      </x:c>
      <x:c r="E152" s="83" t="str">
        <x:v>Antiparasitarios</x:v>
      </x:c>
      <x:c r="F152" s="83" t="str">
        <x:v>Producto</x:v>
      </x:c>
      <x:c r="G152" s="83" t="str">
        <x:v>No</x:v>
      </x:c>
      <x:c r="H152" s="83" t="str"/>
      <x:c r="I152" s="81" t="n">
        <x:v>3</x:v>
      </x:c>
      <x:c r="J152" s="52" t="str">
        <x:v>und</x:v>
      </x:c>
      <x:c r="K152" s="82" t="n">
        <x:v>44080</x:v>
      </x:c>
      <x:c r="L152" s="82" t="n">
        <x:v>0</x:v>
      </x:c>
      <x:c r="M152" s="82" t="n">
        <x:v>44080</x:v>
      </x:c>
      <x:c r="N152" s="80" t="n">
        <x:v>131</x:v>
      </x:c>
    </x:row>
    <x:row r="153">
      <x:c r="A153" s="80" t="n">
        <x:v>2</x:v>
      </x:c>
      <x:c r="B153" s="52" t="str"/>
      <x:c r="C153" s="83" t="str">
        <x:v>FRONTLINE PLUS MED. X 1 P de 10 a 20 kg</x:v>
      </x:c>
      <x:c r="D153" s="83" t="str">
        <x:v>Medicina veterinaria</x:v>
      </x:c>
      <x:c r="E153" s="83" t="str">
        <x:v>Antiparasitarios</x:v>
      </x:c>
      <x:c r="F153" s="83" t="str">
        <x:v>Producto</x:v>
      </x:c>
      <x:c r="G153" s="83" t="str">
        <x:v>No</x:v>
      </x:c>
      <x:c r="H153" s="83" t="str"/>
      <x:c r="I153" s="81" t="n">
        <x:v>1</x:v>
      </x:c>
      <x:c r="J153" s="52" t="str">
        <x:v>und</x:v>
      </x:c>
      <x:c r="K153" s="82" t="n">
        <x:v>17450</x:v>
      </x:c>
      <x:c r="L153" s="82" t="n">
        <x:v>0</x:v>
      </x:c>
      <x:c r="M153" s="82" t="n">
        <x:v>17450</x:v>
      </x:c>
      <x:c r="N153" s="80" t="n">
        <x:v>132</x:v>
      </x:c>
    </x:row>
    <x:row r="154">
      <x:c r="A154" s="80" t="n">
        <x:v>2</x:v>
      </x:c>
      <x:c r="B154" s="52" t="str">
        <x:v>12570894</x:v>
      </x:c>
      <x:c r="C154" s="83" t="str">
        <x:v>FRONTLINE SPOT ON CH X 1</x:v>
      </x:c>
      <x:c r="D154" s="83" t="str">
        <x:v>Medicina veterinaria</x:v>
      </x:c>
      <x:c r="E154" s="83" t="str">
        <x:v>Antiparasitarios</x:v>
      </x:c>
      <x:c r="F154" s="83" t="str">
        <x:v>Producto</x:v>
      </x:c>
      <x:c r="G154" s="83" t="str">
        <x:v>No</x:v>
      </x:c>
      <x:c r="H154" s="83" t="str"/>
      <x:c r="I154" s="81" t="n">
        <x:v>2</x:v>
      </x:c>
      <x:c r="J154" s="52" t="str"/>
      <x:c r="K154" s="82" t="n">
        <x:v>17000</x:v>
      </x:c>
      <x:c r="L154" s="82" t="n">
        <x:v>0</x:v>
      </x:c>
      <x:c r="M154" s="82" t="n">
        <x:v>17000</x:v>
      </x:c>
      <x:c r="N154" s="80" t="n">
        <x:v>3</x:v>
      </x:c>
    </x:row>
    <x:row r="155">
      <x:c r="A155" s="80" t="n">
        <x:v>2</x:v>
      </x:c>
      <x:c r="B155" s="52" t="str"/>
      <x:c r="C155" s="83" t="str">
        <x:v>FRONTLINE SPOT ON GATO X 1 P.</x:v>
      </x:c>
      <x:c r="D155" s="83" t="str">
        <x:v>Medicina veterinaria</x:v>
      </x:c>
      <x:c r="E155" s="83" t="str">
        <x:v>Antiparasitarios</x:v>
      </x:c>
      <x:c r="F155" s="83" t="str">
        <x:v>Producto</x:v>
      </x:c>
      <x:c r="G155" s="83" t="str">
        <x:v>No</x:v>
      </x:c>
      <x:c r="H155" s="83" t="str"/>
      <x:c r="I155" s="81" t="n">
        <x:v>3</x:v>
      </x:c>
      <x:c r="J155" s="52" t="str">
        <x:v>und</x:v>
      </x:c>
      <x:c r="K155" s="82" t="n">
        <x:v>27436.5</x:v>
      </x:c>
      <x:c r="L155" s="82" t="n">
        <x:v>0</x:v>
      </x:c>
      <x:c r="M155" s="82" t="n">
        <x:v>27436.5</x:v>
      </x:c>
      <x:c r="N155" s="80" t="n">
        <x:v>133</x:v>
      </x:c>
    </x:row>
    <x:row r="156">
      <x:c r="A156" s="80" t="n">
        <x:v>2</x:v>
      </x:c>
      <x:c r="B156" s="52" t="str">
        <x:v>5247</x:v>
      </x:c>
      <x:c r="C156" s="83" t="str">
        <x:v>La Pipeta Osspret Gatos 1 a 4 Kg</x:v>
      </x:c>
      <x:c r="D156" s="83" t="str">
        <x:v>Medicina veterinaria</x:v>
      </x:c>
      <x:c r="E156" s="83" t="str">
        <x:v>Antiparasitarios</x:v>
      </x:c>
      <x:c r="F156" s="83" t="str">
        <x:v>Producto</x:v>
      </x:c>
      <x:c r="G156" s="83" t="str">
        <x:v>No</x:v>
      </x:c>
      <x:c r="H156" s="83" t="str"/>
      <x:c r="I156" s="81" t="n">
        <x:v>1</x:v>
      </x:c>
      <x:c r="J156" s="52" t="str">
        <x:v>Cja</x:v>
      </x:c>
      <x:c r="K156" s="82" t="n">
        <x:v>4350</x:v>
      </x:c>
      <x:c r="L156" s="82" t="n">
        <x:v>0</x:v>
      </x:c>
      <x:c r="M156" s="82" t="n">
        <x:v>4350</x:v>
      </x:c>
      <x:c r="N156" s="80" t="n">
        <x:v>162</x:v>
      </x:c>
    </x:row>
    <x:row r="157">
      <x:c r="A157" s="80" t="n">
        <x:v>2</x:v>
      </x:c>
      <x:c r="B157" s="52" t="str">
        <x:v>4929</x:v>
      </x:c>
      <x:c r="C157" s="83" t="str">
        <x:v>La Pipeta Osspret Perros 2 a 10 Kg</x:v>
      </x:c>
      <x:c r="D157" s="83" t="str">
        <x:v>Medicina veterinaria</x:v>
      </x:c>
      <x:c r="E157" s="83" t="str">
        <x:v>Antiparasitarios</x:v>
      </x:c>
      <x:c r="F157" s="83" t="str">
        <x:v>Producto</x:v>
      </x:c>
      <x:c r="G157" s="83" t="str">
        <x:v>No</x:v>
      </x:c>
      <x:c r="H157" s="83" t="str"/>
      <x:c r="I157" s="81" t="n">
        <x:v>1</x:v>
      </x:c>
      <x:c r="J157" s="52" t="str">
        <x:v>Cja</x:v>
      </x:c>
      <x:c r="K157" s="82" t="n">
        <x:v>4500</x:v>
      </x:c>
      <x:c r="L157" s="82" t="n">
        <x:v>0</x:v>
      </x:c>
      <x:c r="M157" s="82" t="n">
        <x:v>4500</x:v>
      </x:c>
      <x:c r="N157" s="80" t="n">
        <x:v>163</x:v>
      </x:c>
    </x:row>
    <x:row r="158">
      <x:c r="A158" s="80" t="n">
        <x:v>2</x:v>
      </x:c>
      <x:c r="B158" s="52" t="str"/>
      <x:c r="C158" s="83" t="str">
        <x:v>MELTRA SPOT ON FELINOS DE 2 A 4 KG.</x:v>
      </x:c>
      <x:c r="D158" s="83" t="str">
        <x:v>Medicina veterinaria</x:v>
      </x:c>
      <x:c r="E158" s="83" t="str">
        <x:v>Antiparasitarios</x:v>
      </x:c>
      <x:c r="F158" s="83" t="str">
        <x:v>Producto</x:v>
      </x:c>
      <x:c r="G158" s="83" t="str">
        <x:v>No</x:v>
      </x:c>
      <x:c r="H158" s="83" t="str"/>
      <x:c r="I158" s="81" t="n">
        <x:v>1</x:v>
      </x:c>
      <x:c r="J158" s="52" t="str">
        <x:v>4 kg</x:v>
      </x:c>
      <x:c r="K158" s="82" t="n">
        <x:v>10800</x:v>
      </x:c>
      <x:c r="L158" s="82" t="n">
        <x:v>0</x:v>
      </x:c>
      <x:c r="M158" s="82" t="n">
        <x:v>10800</x:v>
      </x:c>
      <x:c r="N158" s="80" t="n">
        <x:v>179</x:v>
      </x:c>
    </x:row>
    <x:row r="159">
      <x:c r="A159" s="80" t="n">
        <x:v>2</x:v>
      </x:c>
      <x:c r="B159" s="52" t="str"/>
      <x:c r="C159" s="83" t="str">
        <x:v>MOXIDEX PLUS X 15 COMP.</x:v>
      </x:c>
      <x:c r="D159" s="83" t="str">
        <x:v>Medicina veterinaria</x:v>
      </x:c>
      <x:c r="E159" s="83" t="str">
        <x:v>Antiparasitarios</x:v>
      </x:c>
      <x:c r="F159" s="83" t="str">
        <x:v>Producto</x:v>
      </x:c>
      <x:c r="G159" s="83" t="str">
        <x:v>No</x:v>
      </x:c>
      <x:c r="H159" s="83" t="str"/>
      <x:c r="I159" s="81" t="n">
        <x:v>2</x:v>
      </x:c>
      <x:c r="J159" s="52" t="str">
        <x:v>15 comp</x:v>
      </x:c>
      <x:c r="K159" s="82" t="n">
        <x:v>19300</x:v>
      </x:c>
      <x:c r="L159" s="82" t="n">
        <x:v>0</x:v>
      </x:c>
      <x:c r="M159" s="82" t="n">
        <x:v>19300</x:v>
      </x:c>
      <x:c r="N159" s="80" t="n">
        <x:v>198</x:v>
      </x:c>
    </x:row>
    <x:row r="160">
      <x:c r="A160" s="80" t="n">
        <x:v>2</x:v>
      </x:c>
      <x:c r="B160" s="52" t="str">
        <x:v>445</x:v>
      </x:c>
      <x:c r="C160" s="83" t="str">
        <x:v>NEXGARD 10 A 25 Kg</x:v>
      </x:c>
      <x:c r="D160" s="83" t="str">
        <x:v>Medicina veterinaria</x:v>
      </x:c>
      <x:c r="E160" s="83" t="str">
        <x:v>Antiparasitarios</x:v>
      </x:c>
      <x:c r="F160" s="83" t="str">
        <x:v>Producto</x:v>
      </x:c>
      <x:c r="G160" s="83" t="str">
        <x:v>No</x:v>
      </x:c>
      <x:c r="H160" s="83" t="str"/>
      <x:c r="I160" s="81" t="n">
        <x:v>2</x:v>
      </x:c>
      <x:c r="J160" s="52" t="str">
        <x:v>und</x:v>
      </x:c>
      <x:c r="K160" s="82" t="n">
        <x:v>61700</x:v>
      </x:c>
      <x:c r="L160" s="82" t="n">
        <x:v>0</x:v>
      </x:c>
      <x:c r="M160" s="82" t="n">
        <x:v>61700</x:v>
      </x:c>
      <x:c r="N160" s="80" t="n">
        <x:v>199</x:v>
      </x:c>
    </x:row>
    <x:row r="161">
      <x:c r="A161" s="80" t="n">
        <x:v>2</x:v>
      </x:c>
      <x:c r="B161" s="52" t="str">
        <x:v>566</x:v>
      </x:c>
      <x:c r="C161" s="83" t="str">
        <x:v>NEXGARD 2 A 4 Kg</x:v>
      </x:c>
      <x:c r="D161" s="83" t="str">
        <x:v>Medicina veterinaria</x:v>
      </x:c>
      <x:c r="E161" s="83" t="str">
        <x:v>Antiparasitarios</x:v>
      </x:c>
      <x:c r="F161" s="83" t="str">
        <x:v>Producto</x:v>
      </x:c>
      <x:c r="G161" s="83" t="str">
        <x:v>No</x:v>
      </x:c>
      <x:c r="H161" s="83" t="str"/>
      <x:c r="I161" s="81" t="n">
        <x:v>1</x:v>
      </x:c>
      <x:c r="J161" s="52" t="str">
        <x:v>und</x:v>
      </x:c>
      <x:c r="K161" s="82" t="n">
        <x:v>23100</x:v>
      </x:c>
      <x:c r="L161" s="82" t="n">
        <x:v>0</x:v>
      </x:c>
      <x:c r="M161" s="82" t="n">
        <x:v>23100</x:v>
      </x:c>
      <x:c r="N161" s="80" t="n">
        <x:v>200</x:v>
      </x:c>
    </x:row>
    <x:row r="162">
      <x:c r="A162" s="80" t="n">
        <x:v>2</x:v>
      </x:c>
      <x:c r="B162" s="52" t="str">
        <x:v>544</x:v>
      </x:c>
      <x:c r="C162" s="83" t="str">
        <x:v>NEXGARD 5 A 10 Kg</x:v>
      </x:c>
      <x:c r="D162" s="83" t="str">
        <x:v>Medicina veterinaria</x:v>
      </x:c>
      <x:c r="E162" s="83" t="str">
        <x:v>Antiparasitarios</x:v>
      </x:c>
      <x:c r="F162" s="83" t="str">
        <x:v>Producto</x:v>
      </x:c>
      <x:c r="G162" s="83" t="str">
        <x:v>No</x:v>
      </x:c>
      <x:c r="H162" s="83" t="str"/>
      <x:c r="I162" s="81" t="n">
        <x:v>3</x:v>
      </x:c>
      <x:c r="J162" s="52" t="str">
        <x:v>und</x:v>
      </x:c>
      <x:c r="K162" s="82" t="n">
        <x:v>75750</x:v>
      </x:c>
      <x:c r="L162" s="82" t="n">
        <x:v>0</x:v>
      </x:c>
      <x:c r="M162" s="82" t="n">
        <x:v>75750</x:v>
      </x:c>
      <x:c r="N162" s="80" t="n">
        <x:v>201</x:v>
      </x:c>
    </x:row>
    <x:row r="163">
      <x:c r="A163" s="80" t="n">
        <x:v>2</x:v>
      </x:c>
      <x:c r="B163" s="52" t="str"/>
      <x:c r="C163" s="83" t="str">
        <x:v>NEXGARD COMBO GATO 2.6-7.5 KG L</x:v>
      </x:c>
      <x:c r="D163" s="83" t="str">
        <x:v>Medicina veterinaria</x:v>
      </x:c>
      <x:c r="E163" s="83" t="str">
        <x:v>Antiparasitarios</x:v>
      </x:c>
      <x:c r="F163" s="83" t="str">
        <x:v>Producto</x:v>
      </x:c>
      <x:c r="G163" s="83" t="str">
        <x:v>No</x:v>
      </x:c>
      <x:c r="H163" s="83" t="str"/>
      <x:c r="I163" s="81" t="n">
        <x:v>3</x:v>
      </x:c>
      <x:c r="J163" s="52" t="str">
        <x:v>und</x:v>
      </x:c>
      <x:c r="K163" s="82" t="n">
        <x:v>84535</x:v>
      </x:c>
      <x:c r="L163" s="82" t="n">
        <x:v>0</x:v>
      </x:c>
      <x:c r="M163" s="82" t="n">
        <x:v>84535</x:v>
      </x:c>
      <x:c r="N163" s="80" t="n">
        <x:v>202</x:v>
      </x:c>
    </x:row>
    <x:row r="164">
      <x:c r="A164" s="80" t="n">
        <x:v>2</x:v>
      </x:c>
      <x:c r="B164" s="52" t="str">
        <x:v>2202</x:v>
      </x:c>
      <x:c r="C164" s="83" t="str">
        <x:v>PIPETAS 2 A 4Kg POWER ULTRA</x:v>
      </x:c>
      <x:c r="D164" s="83" t="str">
        <x:v>Medicina veterinaria</x:v>
      </x:c>
      <x:c r="E164" s="83" t="str">
        <x:v>Antiparasitarios</x:v>
      </x:c>
      <x:c r="F164" s="83" t="str">
        <x:v>Producto</x:v>
      </x:c>
      <x:c r="G164" s="83" t="str">
        <x:v>No</x:v>
      </x:c>
      <x:c r="H164" s="83" t="str"/>
      <x:c r="I164" s="81" t="n">
        <x:v>1</x:v>
      </x:c>
      <x:c r="J164" s="52" t="str">
        <x:v>und</x:v>
      </x:c>
      <x:c r="K164" s="82" t="n">
        <x:v>5115</x:v>
      </x:c>
      <x:c r="L164" s="82" t="n">
        <x:v>0</x:v>
      </x:c>
      <x:c r="M164" s="82" t="n">
        <x:v>5115</x:v>
      </x:c>
      <x:c r="N164" s="80" t="n">
        <x:v>253</x:v>
      </x:c>
    </x:row>
    <x:row r="165">
      <x:c r="A165" s="80" t="n">
        <x:v>2</x:v>
      </x:c>
      <x:c r="B165" s="52" t="str">
        <x:v>2203</x:v>
      </x:c>
      <x:c r="C165" s="83" t="str">
        <x:v>PIPETAS DE 5 A 10 POWER ULTRA</x:v>
      </x:c>
      <x:c r="D165" s="83" t="str">
        <x:v>Medicina veterinaria</x:v>
      </x:c>
      <x:c r="E165" s="83" t="str">
        <x:v>Antiparasitarios</x:v>
      </x:c>
      <x:c r="F165" s="83" t="str">
        <x:v>Producto</x:v>
      </x:c>
      <x:c r="G165" s="83" t="str">
        <x:v>No</x:v>
      </x:c>
      <x:c r="H165" s="83" t="str"/>
      <x:c r="I165" s="81" t="n">
        <x:v>4</x:v>
      </x:c>
      <x:c r="J165" s="52" t="str">
        <x:v>und</x:v>
      </x:c>
      <x:c r="K165" s="82" t="n">
        <x:v>23870</x:v>
      </x:c>
      <x:c r="L165" s="82" t="n">
        <x:v>0</x:v>
      </x:c>
      <x:c r="M165" s="82" t="n">
        <x:v>23870</x:v>
      </x:c>
      <x:c r="N165" s="80" t="n">
        <x:v>254</x:v>
      </x:c>
    </x:row>
    <x:row r="166">
      <x:c r="A166" s="80" t="n">
        <x:v>2</x:v>
      </x:c>
      <x:c r="B166" s="52" t="str"/>
      <x:c r="C166" s="83" t="str">
        <x:v>POWER COMP. GATO/PERRO 10 A 20 KG X 1C</x:v>
      </x:c>
      <x:c r="D166" s="83" t="str">
        <x:v>Medicina veterinaria</x:v>
      </x:c>
      <x:c r="E166" s="83" t="str">
        <x:v>Antiparasitarios</x:v>
      </x:c>
      <x:c r="F166" s="83" t="str">
        <x:v>Producto</x:v>
      </x:c>
      <x:c r="G166" s="83" t="str">
        <x:v>No</x:v>
      </x:c>
      <x:c r="H166" s="83" t="str"/>
      <x:c r="I166" s="81" t="n">
        <x:v>2</x:v>
      </x:c>
      <x:c r="J166" s="52" t="str">
        <x:v>und</x:v>
      </x:c>
      <x:c r="K166" s="82" t="n">
        <x:v>30020</x:v>
      </x:c>
      <x:c r="L166" s="82" t="n">
        <x:v>0</x:v>
      </x:c>
      <x:c r="M166" s="82" t="n">
        <x:v>30020</x:v>
      </x:c>
      <x:c r="N166" s="80" t="n">
        <x:v>261</x:v>
      </x:c>
    </x:row>
    <x:row r="167">
      <x:c r="A167" s="80" t="n">
        <x:v>2</x:v>
      </x:c>
      <x:c r="B167" s="52" t="str"/>
      <x:c r="C167" s="83" t="str">
        <x:v>POWER COMP. GATO/PERRO 2.5 A 5 KG X 1C</x:v>
      </x:c>
      <x:c r="D167" s="83" t="str">
        <x:v>Medicina veterinaria</x:v>
      </x:c>
      <x:c r="E167" s="83" t="str">
        <x:v>Antiparasitarios</x:v>
      </x:c>
      <x:c r="F167" s="83" t="str">
        <x:v>Producto</x:v>
      </x:c>
      <x:c r="G167" s="83" t="str">
        <x:v>No</x:v>
      </x:c>
      <x:c r="H167" s="83" t="str"/>
      <x:c r="I167" s="81" t="n">
        <x:v>1</x:v>
      </x:c>
      <x:c r="J167" s="52" t="str">
        <x:v>und</x:v>
      </x:c>
      <x:c r="K167" s="82" t="n">
        <x:v>12800</x:v>
      </x:c>
      <x:c r="L167" s="82" t="n">
        <x:v>0</x:v>
      </x:c>
      <x:c r="M167" s="82" t="n">
        <x:v>12800</x:v>
      </x:c>
      <x:c r="N167" s="80" t="n">
        <x:v>262</x:v>
      </x:c>
    </x:row>
    <x:row r="168">
      <x:c r="A168" s="80" t="n">
        <x:v>2</x:v>
      </x:c>
      <x:c r="B168" s="52" t="str"/>
      <x:c r="C168" s="83" t="str">
        <x:v>POWER COMP. GATO/PERRO 5 A 10 KG X 1C</x:v>
      </x:c>
      <x:c r="D168" s="83" t="str">
        <x:v>Medicina veterinaria</x:v>
      </x:c>
      <x:c r="E168" s="83" t="str">
        <x:v>Antiparasitarios</x:v>
      </x:c>
      <x:c r="F168" s="83" t="str">
        <x:v>Producto</x:v>
      </x:c>
      <x:c r="G168" s="83" t="str">
        <x:v>No</x:v>
      </x:c>
      <x:c r="H168" s="83" t="str"/>
      <x:c r="I168" s="81" t="n">
        <x:v>5</x:v>
      </x:c>
      <x:c r="J168" s="52" t="str">
        <x:v>und</x:v>
      </x:c>
      <x:c r="K168" s="82" t="n">
        <x:v>58650</x:v>
      </x:c>
      <x:c r="L168" s="82" t="n">
        <x:v>0</x:v>
      </x:c>
      <x:c r="M168" s="82" t="n">
        <x:v>58650</x:v>
      </x:c>
      <x:c r="N168" s="80" t="n">
        <x:v>263</x:v>
      </x:c>
    </x:row>
    <x:row r="169">
      <x:c r="A169" s="80" t="n">
        <x:v>2</x:v>
      </x:c>
      <x:c r="B169" s="52" t="str">
        <x:v>2291</x:v>
      </x:c>
      <x:c r="C169" s="83" t="str">
        <x:v>POWER GOLD DE 04 A 10 KG 12SEM</x:v>
      </x:c>
      <x:c r="D169" s="83" t="str">
        <x:v>Medicina veterinaria</x:v>
      </x:c>
      <x:c r="E169" s="83" t="str">
        <x:v>Antiparasitarios</x:v>
      </x:c>
      <x:c r="F169" s="83" t="str">
        <x:v>Producto</x:v>
      </x:c>
      <x:c r="G169" s="83" t="str">
        <x:v>No</x:v>
      </x:c>
      <x:c r="H169" s="83" t="str"/>
      <x:c r="I169" s="81" t="n">
        <x:v>1</x:v>
      </x:c>
      <x:c r="J169" s="52" t="str">
        <x:v>und</x:v>
      </x:c>
      <x:c r="K169" s="82" t="n">
        <x:v>25380</x:v>
      </x:c>
      <x:c r="L169" s="82" t="n">
        <x:v>0</x:v>
      </x:c>
      <x:c r="M169" s="82" t="n">
        <x:v>25380</x:v>
      </x:c>
      <x:c r="N169" s="80" t="n">
        <x:v>264</x:v>
      </x:c>
    </x:row>
    <x:row r="170">
      <x:c r="A170" s="80" t="n">
        <x:v>2</x:v>
      </x:c>
      <x:c r="B170" s="52" t="str">
        <x:v>2298</x:v>
      </x:c>
      <x:c r="C170" s="83" t="str">
        <x:v>SIMPARICA 20 MG 5 A 10 Kg</x:v>
      </x:c>
      <x:c r="D170" s="83" t="str">
        <x:v>Medicina veterinaria</x:v>
      </x:c>
      <x:c r="E170" s="83" t="str">
        <x:v>Antiparasitarios</x:v>
      </x:c>
      <x:c r="F170" s="83" t="str">
        <x:v>Producto</x:v>
      </x:c>
      <x:c r="G170" s="83" t="str">
        <x:v>No</x:v>
      </x:c>
      <x:c r="H170" s="83" t="str"/>
      <x:c r="I170" s="81" t="n">
        <x:v>4</x:v>
      </x:c>
      <x:c r="J170" s="52" t="str">
        <x:v>und</x:v>
      </x:c>
      <x:c r="K170" s="82" t="n">
        <x:v>78995</x:v>
      </x:c>
      <x:c r="L170" s="82" t="n">
        <x:v>0</x:v>
      </x:c>
      <x:c r="M170" s="82" t="n">
        <x:v>78995</x:v>
      </x:c>
      <x:c r="N170" s="80" t="n">
        <x:v>295</x:v>
      </x:c>
    </x:row>
    <x:row r="171">
      <x:c r="A171" s="80" t="n">
        <x:v>2</x:v>
      </x:c>
      <x:c r="B171" s="52" t="str"/>
      <x:c r="C171" s="83" t="str">
        <x:v>SPECTRA NEXGARD H07,5 KG.(S)</x:v>
      </x:c>
      <x:c r="D171" s="83" t="str">
        <x:v>Medicina veterinaria</x:v>
      </x:c>
      <x:c r="E171" s="83" t="str">
        <x:v>Antiparasitarios</x:v>
      </x:c>
      <x:c r="F171" s="83" t="str">
        <x:v>Producto</x:v>
      </x:c>
      <x:c r="G171" s="83" t="str">
        <x:v>No</x:v>
      </x:c>
      <x:c r="H171" s="83" t="str"/>
      <x:c r="I171" s="81" t="n">
        <x:v>2</x:v>
      </x:c>
      <x:c r="J171" s="52" t="str">
        <x:v>und</x:v>
      </x:c>
      <x:c r="K171" s="82" t="n">
        <x:v>54136.5</x:v>
      </x:c>
      <x:c r="L171" s="82" t="n">
        <x:v>0</x:v>
      </x:c>
      <x:c r="M171" s="82" t="n">
        <x:v>54136.5</x:v>
      </x:c>
      <x:c r="N171" s="80" t="n">
        <x:v>297</x:v>
      </x:c>
    </x:row>
    <x:row r="172">
      <x:c r="A172" s="80" t="n">
        <x:v>2</x:v>
      </x:c>
      <x:c r="B172" s="52" t="str"/>
      <x:c r="C172" s="83" t="str">
        <x:v>SPECTRA NEXGARD H30 KG.(L)</x:v>
      </x:c>
      <x:c r="D172" s="83" t="str">
        <x:v>Medicina veterinaria</x:v>
      </x:c>
      <x:c r="E172" s="83" t="str">
        <x:v>Antiparasitarios</x:v>
      </x:c>
      <x:c r="F172" s="83" t="str">
        <x:v>Producto</x:v>
      </x:c>
      <x:c r="G172" s="83" t="str">
        <x:v>No</x:v>
      </x:c>
      <x:c r="H172" s="83" t="str"/>
      <x:c r="I172" s="81" t="n">
        <x:v>1</x:v>
      </x:c>
      <x:c r="J172" s="52" t="str">
        <x:v>und</x:v>
      </x:c>
      <x:c r="K172" s="82" t="n">
        <x:v>44000</x:v>
      </x:c>
      <x:c r="L172" s="82" t="n">
        <x:v>0</x:v>
      </x:c>
      <x:c r="M172" s="82" t="n">
        <x:v>44000</x:v>
      </x:c>
      <x:c r="N172" s="80" t="n">
        <x:v>298</x:v>
      </x:c>
    </x:row>
    <x:row r="173">
      <x:c r="A173" s="80" t="n">
        <x:v>2</x:v>
      </x:c>
      <x:c r="B173" s="52" t="str"/>
      <x:c r="C173" s="83" t="str">
        <x:v>SPECTRA NEXGARD H60 KG.(XL)</x:v>
      </x:c>
      <x:c r="D173" s="83" t="str">
        <x:v>Medicina veterinaria</x:v>
      </x:c>
      <x:c r="E173" s="83" t="str">
        <x:v>Antiparasitarios</x:v>
      </x:c>
      <x:c r="F173" s="83" t="str">
        <x:v>Producto</x:v>
      </x:c>
      <x:c r="G173" s="83" t="str">
        <x:v>No</x:v>
      </x:c>
      <x:c r="H173" s="83" t="str"/>
      <x:c r="I173" s="81" t="n">
        <x:v>1</x:v>
      </x:c>
      <x:c r="J173" s="52" t="str">
        <x:v>und</x:v>
      </x:c>
      <x:c r="K173" s="82" t="n">
        <x:v>45012</x:v>
      </x:c>
      <x:c r="L173" s="82" t="n">
        <x:v>0</x:v>
      </x:c>
      <x:c r="M173" s="82" t="n">
        <x:v>45012</x:v>
      </x:c>
      <x:c r="N173" s="80" t="n">
        <x:v>299</x:v>
      </x:c>
    </x:row>
    <x:row r="174">
      <x:c r="A174" s="80" t="n">
        <x:v>2</x:v>
      </x:c>
      <x:c r="B174" s="52" t="str"/>
      <x:c r="C174" s="83" t="str">
        <x:v>TOTAL FULL CACHORROS X 15 ML.</x:v>
      </x:c>
      <x:c r="D174" s="83" t="str">
        <x:v>Medicina veterinaria</x:v>
      </x:c>
      <x:c r="E174" s="83" t="str">
        <x:v>Antiparasitarios</x:v>
      </x:c>
      <x:c r="F174" s="83" t="str">
        <x:v>Producto</x:v>
      </x:c>
      <x:c r="G174" s="83" t="str">
        <x:v>No</x:v>
      </x:c>
      <x:c r="H174" s="83" t="str"/>
      <x:c r="I174" s="81" t="n">
        <x:v>1</x:v>
      </x:c>
      <x:c r="J174" s="52" t="str">
        <x:v>15 ml</x:v>
      </x:c>
      <x:c r="K174" s="82" t="n">
        <x:v>11150</x:v>
      </x:c>
      <x:c r="L174" s="82" t="n">
        <x:v>0</x:v>
      </x:c>
      <x:c r="M174" s="82" t="n">
        <x:v>11150</x:v>
      </x:c>
      <x:c r="N174" s="80" t="n">
        <x:v>306</x:v>
      </x:c>
    </x:row>
    <x:row r="175">
      <x:c r="A175" s="80" t="n">
        <x:v>2</x:v>
      </x:c>
      <x:c r="B175" s="52" t="str"/>
      <x:c r="C175" s="83" t="str">
        <x:v>TOTAL FULL CG PERROS Y GATOS X 15 ML.</x:v>
      </x:c>
      <x:c r="D175" s="83" t="str">
        <x:v>Medicina veterinaria</x:v>
      </x:c>
      <x:c r="E175" s="83" t="str">
        <x:v>Antiparasitarios</x:v>
      </x:c>
      <x:c r="F175" s="83" t="str">
        <x:v>Producto</x:v>
      </x:c>
      <x:c r="G175" s="83" t="str">
        <x:v>No</x:v>
      </x:c>
      <x:c r="H175" s="83" t="str"/>
      <x:c r="I175" s="81" t="n">
        <x:v>1</x:v>
      </x:c>
      <x:c r="J175" s="52" t="str">
        <x:v>15 ml</x:v>
      </x:c>
      <x:c r="K175" s="82" t="n">
        <x:v>13905</x:v>
      </x:c>
      <x:c r="L175" s="82" t="n">
        <x:v>0</x:v>
      </x:c>
      <x:c r="M175" s="82" t="n">
        <x:v>13905</x:v>
      </x:c>
      <x:c r="N175" s="80" t="n">
        <x:v>307</x:v>
      </x:c>
    </x:row>
    <x:row r="176">
      <x:c r="A176" s="80" t="n">
        <x:v>2</x:v>
      </x:c>
      <x:c r="B176" s="52" t="str"/>
      <x:c r="C176" s="83" t="str">
        <x:v>TOTAL FULL LC GATOS X 2 COMP. PALAT</x:v>
      </x:c>
      <x:c r="D176" s="83" t="str">
        <x:v>Medicina veterinaria</x:v>
      </x:c>
      <x:c r="E176" s="83" t="str">
        <x:v>Antiparasitarios</x:v>
      </x:c>
      <x:c r="F176" s="83" t="str">
        <x:v>Producto</x:v>
      </x:c>
      <x:c r="G176" s="83" t="str">
        <x:v>No</x:v>
      </x:c>
      <x:c r="H176" s="83" t="str"/>
      <x:c r="I176" s="81" t="n">
        <x:v>5</x:v>
      </x:c>
      <x:c r="J176" s="52" t="str">
        <x:v>1 cja</x:v>
      </x:c>
      <x:c r="K176" s="82" t="n">
        <x:v>31347</x:v>
      </x:c>
      <x:c r="L176" s="82" t="n">
        <x:v>0</x:v>
      </x:c>
      <x:c r="M176" s="82" t="n">
        <x:v>31347</x:v>
      </x:c>
      <x:c r="N176" s="80" t="n">
        <x:v>308</x:v>
      </x:c>
    </x:row>
    <x:row r="177">
      <x:c r="A177" s="80" t="n">
        <x:v>2</x:v>
      </x:c>
      <x:c r="B177" s="52" t="str"/>
      <x:c r="C177" s="83" t="str">
        <x:v>TOTAL FULL LC H/10 KG. X 2 COMP. PALAT</x:v>
      </x:c>
      <x:c r="D177" s="83" t="str">
        <x:v>Medicina veterinaria</x:v>
      </x:c>
      <x:c r="E177" s="83" t="str">
        <x:v>Antiparasitarios</x:v>
      </x:c>
      <x:c r="F177" s="83" t="str">
        <x:v>Producto</x:v>
      </x:c>
      <x:c r="G177" s="83" t="str">
        <x:v>No</x:v>
      </x:c>
      <x:c r="H177" s="83" t="str"/>
      <x:c r="I177" s="81" t="n">
        <x:v>1</x:v>
      </x:c>
      <x:c r="J177" s="52" t="str">
        <x:v>1 cja</x:v>
      </x:c>
      <x:c r="K177" s="82" t="n">
        <x:v>5208</x:v>
      </x:c>
      <x:c r="L177" s="82" t="n">
        <x:v>0</x:v>
      </x:c>
      <x:c r="M177" s="82" t="n">
        <x:v>5208</x:v>
      </x:c>
      <x:c r="N177" s="80" t="n">
        <x:v>309</x:v>
      </x:c>
    </x:row>
    <x:row r="178">
      <x:c r="A178" s="80" t="n">
        <x:v>2</x:v>
      </x:c>
      <x:c r="B178" s="52" t="str"/>
      <x:c r="C178" s="83" t="str">
        <x:v>AMLODIPINA CAT X 20 COMP</x:v>
      </x:c>
      <x:c r="D178" s="83" t="str">
        <x:v>Medicina veterinaria</x:v>
      </x:c>
      <x:c r="E178" s="83" t="str">
        <x:v>Cardiología</x:v>
      </x:c>
      <x:c r="F178" s="83" t="str">
        <x:v>Producto</x:v>
      </x:c>
      <x:c r="G178" s="83" t="str">
        <x:v>No</x:v>
      </x:c>
      <x:c r="H178" s="83" t="str"/>
      <x:c r="I178" s="81" t="n">
        <x:v>1</x:v>
      </x:c>
      <x:c r="J178" s="52" t="str"/>
      <x:c r="K178" s="82" t="n">
        <x:v>11316</x:v>
      </x:c>
      <x:c r="L178" s="82" t="n">
        <x:v>0</x:v>
      </x:c>
      <x:c r="M178" s="82" t="n">
        <x:v>11316</x:v>
      </x:c>
      <x:c r="N178" s="80" t="n">
        <x:v>12</x:v>
      </x:c>
    </x:row>
    <x:row r="179">
      <x:c r="A179" s="80" t="n">
        <x:v>2</x:v>
      </x:c>
      <x:c r="B179" s="52" t="str"/>
      <x:c r="C179" s="83" t="str">
        <x:v>CARDIAL B 10MG. PALAT X 20 COMP.</x:v>
      </x:c>
      <x:c r="D179" s="83" t="str">
        <x:v>Medicina veterinaria</x:v>
      </x:c>
      <x:c r="E179" s="83" t="str">
        <x:v>Cardiología</x:v>
      </x:c>
      <x:c r="F179" s="83" t="str">
        <x:v>Producto</x:v>
      </x:c>
      <x:c r="G179" s="83" t="str">
        <x:v>No</x:v>
      </x:c>
      <x:c r="H179" s="83" t="str"/>
      <x:c r="I179" s="81" t="n">
        <x:v>1</x:v>
      </x:c>
      <x:c r="J179" s="52" t="str">
        <x:v>und</x:v>
      </x:c>
      <x:c r="K179" s="82" t="n">
        <x:v>39500</x:v>
      </x:c>
      <x:c r="L179" s="82" t="n">
        <x:v>0</x:v>
      </x:c>
      <x:c r="M179" s="82" t="n">
        <x:v>39500</x:v>
      </x:c>
      <x:c r="N179" s="80" t="n">
        <x:v>46</x:v>
      </x:c>
    </x:row>
    <x:row r="180">
      <x:c r="A180" s="80" t="n">
        <x:v>2</x:v>
      </x:c>
      <x:c r="B180" s="52" t="str">
        <x:v>9501132017147</x:v>
      </x:c>
      <x:c r="C180" s="83" t="str">
        <x:v>CARDIONAFIL KUALCOS 25 MG X 10 CS</x:v>
      </x:c>
      <x:c r="D180" s="83" t="str">
        <x:v>Medicina veterinaria</x:v>
      </x:c>
      <x:c r="E180" s="83" t="str">
        <x:v>Cardiología</x:v>
      </x:c>
      <x:c r="F180" s="83" t="str">
        <x:v>Producto</x:v>
      </x:c>
      <x:c r="G180" s="83" t="str">
        <x:v>No</x:v>
      </x:c>
      <x:c r="H180" s="83" t="str"/>
      <x:c r="I180" s="81" t="n">
        <x:v>8</x:v>
      </x:c>
      <x:c r="J180" s="52" t="str"/>
      <x:c r="K180" s="82" t="n">
        <x:v>33975</x:v>
      </x:c>
      <x:c r="L180" s="82" t="n">
        <x:v>0</x:v>
      </x:c>
      <x:c r="M180" s="82" t="n">
        <x:v>33975</x:v>
      </x:c>
      <x:c r="N180" s="80" t="n">
        <x:v>2</x:v>
      </x:c>
    </x:row>
    <x:row r="181">
      <x:c r="A181" s="80" t="n">
        <x:v>2</x:v>
      </x:c>
      <x:c r="B181" s="52" t="str"/>
      <x:c r="C181" s="83" t="str">
        <x:v>CARDIOTENOL KUALCOS 6.25 MG X 20 CS</x:v>
      </x:c>
      <x:c r="D181" s="83" t="str">
        <x:v>Medicina veterinaria</x:v>
      </x:c>
      <x:c r="E181" s="83" t="str">
        <x:v>Cardiología</x:v>
      </x:c>
      <x:c r="F181" s="83" t="str">
        <x:v>Producto</x:v>
      </x:c>
      <x:c r="G181" s="83" t="str">
        <x:v>No</x:v>
      </x:c>
      <x:c r="H181" s="83" t="str"/>
      <x:c r="I181" s="81" t="n">
        <x:v>4</x:v>
      </x:c>
      <x:c r="J181" s="52" t="str">
        <x:v>caja</x:v>
      </x:c>
      <x:c r="K181" s="82" t="n">
        <x:v>28057.5</x:v>
      </x:c>
      <x:c r="L181" s="82" t="n">
        <x:v>0</x:v>
      </x:c>
      <x:c r="M181" s="82" t="n">
        <x:v>28057.5</x:v>
      </x:c>
      <x:c r="N181" s="80" t="n">
        <x:v>47</x:v>
      </x:c>
    </x:row>
    <x:row r="182">
      <x:c r="A182" s="80" t="n">
        <x:v>2</x:v>
      </x:c>
      <x:c r="B182" s="52" t="str"/>
      <x:c r="C182" s="83" t="str">
        <x:v>FUROSEMIDA J'ANVIER X 200 comprimidos</x:v>
      </x:c>
      <x:c r="D182" s="83" t="str">
        <x:v>Medicina veterinaria</x:v>
      </x:c>
      <x:c r="E182" s="83" t="str">
        <x:v>Cardiología</x:v>
      </x:c>
      <x:c r="F182" s="83" t="str">
        <x:v>Producto</x:v>
      </x:c>
      <x:c r="G182" s="83" t="str">
        <x:v>No</x:v>
      </x:c>
      <x:c r="H182" s="83" t="str"/>
      <x:c r="I182" s="81" t="n">
        <x:v>3</x:v>
      </x:c>
      <x:c r="J182" s="52" t="str">
        <x:v>200 cpm</x:v>
      </x:c>
      <x:c r="K182" s="82" t="n">
        <x:v>17400</x:v>
      </x:c>
      <x:c r="L182" s="82" t="n">
        <x:v>0</x:v>
      </x:c>
      <x:c r="M182" s="82" t="n">
        <x:v>17400</x:v>
      </x:c>
      <x:c r="N182" s="80" t="n">
        <x:v>135</x:v>
      </x:c>
    </x:row>
    <x:row r="183">
      <x:c r="A183" s="80" t="n">
        <x:v>2</x:v>
      </x:c>
      <x:c r="B183" s="52" t="str"/>
      <x:c r="C183" s="83" t="str">
        <x:v>PIMODEN JµNVIER 10 MG X 100 COMP.</x:v>
      </x:c>
      <x:c r="D183" s="83" t="str">
        <x:v>Medicina veterinaria</x:v>
      </x:c>
      <x:c r="E183" s="83" t="str">
        <x:v>Cardiología</x:v>
      </x:c>
      <x:c r="F183" s="83" t="str">
        <x:v>Producto</x:v>
      </x:c>
      <x:c r="G183" s="83" t="str">
        <x:v>No</x:v>
      </x:c>
      <x:c r="H183" s="83" t="str"/>
      <x:c r="I183" s="81" t="n">
        <x:v>1</x:v>
      </x:c>
      <x:c r="J183" s="52" t="str">
        <x:v>10 mg</x:v>
      </x:c>
      <x:c r="K183" s="82" t="n">
        <x:v>10355</x:v>
      </x:c>
      <x:c r="L183" s="82" t="n">
        <x:v>0</x:v>
      </x:c>
      <x:c r="M183" s="82" t="n">
        <x:v>10355</x:v>
      </x:c>
      <x:c r="N183" s="80" t="n">
        <x:v>251</x:v>
      </x:c>
    </x:row>
    <x:row r="184">
      <x:c r="A184" s="80" t="n">
        <x:v>2</x:v>
      </x:c>
      <x:c r="B184" s="52" t="str"/>
      <x:c r="C184" s="83" t="str">
        <x:v>PIMODEN JµNVIER 2.5 MG X 100 COMP</x:v>
      </x:c>
      <x:c r="D184" s="83" t="str">
        <x:v>Medicina veterinaria</x:v>
      </x:c>
      <x:c r="E184" s="83" t="str">
        <x:v>Cardiología</x:v>
      </x:c>
      <x:c r="F184" s="83" t="str">
        <x:v>Producto</x:v>
      </x:c>
      <x:c r="G184" s="83" t="str">
        <x:v>No</x:v>
      </x:c>
      <x:c r="H184" s="83" t="str"/>
      <x:c r="I184" s="81" t="n">
        <x:v>1</x:v>
      </x:c>
      <x:c r="J184" s="52" t="str">
        <x:v>und</x:v>
      </x:c>
      <x:c r="K184" s="82" t="n">
        <x:v>6000</x:v>
      </x:c>
      <x:c r="L184" s="82" t="n">
        <x:v>0</x:v>
      </x:c>
      <x:c r="M184" s="82" t="n">
        <x:v>6000</x:v>
      </x:c>
      <x:c r="N184" s="80" t="n">
        <x:v>252</x:v>
      </x:c>
    </x:row>
    <x:row r="185">
      <x:c r="A185" s="80" t="n">
        <x:v>2</x:v>
      </x:c>
      <x:c r="B185" s="52" t="str"/>
      <x:c r="C185" s="83" t="str">
        <x:v>APOQUEL 16 MG X 20 COMP</x:v>
      </x:c>
      <x:c r="D185" s="83" t="str">
        <x:v>Medicina veterinaria</x:v>
      </x:c>
      <x:c r="E185" s="83" t="str">
        <x:v>Dermatología</x:v>
      </x:c>
      <x:c r="F185" s="83" t="str">
        <x:v>Producto</x:v>
      </x:c>
      <x:c r="G185" s="83" t="str">
        <x:v>No</x:v>
      </x:c>
      <x:c r="H185" s="83" t="str"/>
      <x:c r="I185" s="81" t="n">
        <x:v>1</x:v>
      </x:c>
      <x:c r="J185" s="52" t="str">
        <x:v>1 cja</x:v>
      </x:c>
      <x:c r="K185" s="82" t="n">
        <x:v>46620</x:v>
      </x:c>
      <x:c r="L185" s="82" t="n">
        <x:v>0</x:v>
      </x:c>
      <x:c r="M185" s="82" t="n">
        <x:v>46620</x:v>
      </x:c>
      <x:c r="N185" s="80" t="n">
        <x:v>17</x:v>
      </x:c>
    </x:row>
    <x:row r="186">
      <x:c r="A186" s="80" t="n">
        <x:v>2</x:v>
      </x:c>
      <x:c r="B186" s="52" t="str"/>
      <x:c r="C186" s="83" t="str">
        <x:v>APOQUEL 5.4 MG X 20 COMP.</x:v>
      </x:c>
      <x:c r="D186" s="83" t="str">
        <x:v>Medicina veterinaria</x:v>
      </x:c>
      <x:c r="E186" s="83" t="str">
        <x:v>Dermatología</x:v>
      </x:c>
      <x:c r="F186" s="83" t="str">
        <x:v>Producto</x:v>
      </x:c>
      <x:c r="G186" s="83" t="str">
        <x:v>No</x:v>
      </x:c>
      <x:c r="H186" s="83" t="str"/>
      <x:c r="I186" s="81" t="n">
        <x:v>2</x:v>
      </x:c>
      <x:c r="J186" s="52" t="str"/>
      <x:c r="K186" s="82" t="n">
        <x:v>74100</x:v>
      </x:c>
      <x:c r="L186" s="82" t="n">
        <x:v>0</x:v>
      </x:c>
      <x:c r="M186" s="82" t="n">
        <x:v>74100</x:v>
      </x:c>
      <x:c r="N186" s="80" t="n">
        <x:v>18</x:v>
      </x:c>
    </x:row>
    <x:row r="187">
      <x:c r="A187" s="80" t="n">
        <x:v>2</x:v>
      </x:c>
      <x:c r="B187" s="52" t="str"/>
      <x:c r="C187" s="83" t="str">
        <x:v>CREMA 6A POMO X 15 GR.</x:v>
      </x:c>
      <x:c r="D187" s="83" t="str">
        <x:v>Medicina veterinaria</x:v>
      </x:c>
      <x:c r="E187" s="83" t="str">
        <x:v>Dermatología</x:v>
      </x:c>
      <x:c r="F187" s="83" t="str">
        <x:v>Producto</x:v>
      </x:c>
      <x:c r="G187" s="83" t="str">
        <x:v>No</x:v>
      </x:c>
      <x:c r="H187" s="83" t="str"/>
      <x:c r="I187" s="81" t="n">
        <x:v>1</x:v>
      </x:c>
      <x:c r="J187" s="52" t="str">
        <x:v>15 gr</x:v>
      </x:c>
      <x:c r="K187" s="82" t="n">
        <x:v>15700</x:v>
      </x:c>
      <x:c r="L187" s="82" t="n">
        <x:v>0</x:v>
      </x:c>
      <x:c r="M187" s="82" t="n">
        <x:v>15700</x:v>
      </x:c>
      <x:c r="N187" s="80" t="n">
        <x:v>73</x:v>
      </x:c>
    </x:row>
    <x:row r="188">
      <x:c r="A188" s="80" t="n">
        <x:v>2</x:v>
      </x:c>
      <x:c r="B188" s="52" t="str"/>
      <x:c r="C188" s="83" t="str">
        <x:v>DERM CAPS POMO X 30 GR.</x:v>
      </x:c>
      <x:c r="D188" s="83" t="str">
        <x:v>Medicina veterinaria</x:v>
      </x:c>
      <x:c r="E188" s="83" t="str">
        <x:v>Dermatología</x:v>
      </x:c>
      <x:c r="F188" s="83" t="str">
        <x:v>Producto</x:v>
      </x:c>
      <x:c r="G188" s="83" t="str">
        <x:v>No</x:v>
      </x:c>
      <x:c r="H188" s="83" t="str"/>
      <x:c r="I188" s="81" t="n">
        <x:v>1</x:v>
      </x:c>
      <x:c r="J188" s="52" t="str">
        <x:v>30 gr</x:v>
      </x:c>
      <x:c r="K188" s="82" t="n">
        <x:v>21650</x:v>
      </x:c>
      <x:c r="L188" s="82" t="n">
        <x:v>0</x:v>
      </x:c>
      <x:c r="M188" s="82" t="n">
        <x:v>21650</x:v>
      </x:c>
      <x:c r="N188" s="80" t="n">
        <x:v>76</x:v>
      </x:c>
    </x:row>
    <x:row r="189">
      <x:c r="A189" s="80" t="n">
        <x:v>2</x:v>
      </x:c>
      <x:c r="B189" s="52" t="str"/>
      <x:c r="C189" s="83" t="str">
        <x:v>OCLADERM 5.4 MG X 20 COMP</x:v>
      </x:c>
      <x:c r="D189" s="83" t="str">
        <x:v>Medicina veterinaria</x:v>
      </x:c>
      <x:c r="E189" s="83" t="str">
        <x:v>Dermatología</x:v>
      </x:c>
      <x:c r="F189" s="83" t="str">
        <x:v>Producto</x:v>
      </x:c>
      <x:c r="G189" s="83" t="str">
        <x:v>No</x:v>
      </x:c>
      <x:c r="H189" s="83" t="str"/>
      <x:c r="I189" s="81" t="n">
        <x:v>1</x:v>
      </x:c>
      <x:c r="J189" s="52" t="str">
        <x:v>21 Comp</x:v>
      </x:c>
      <x:c r="K189" s="82" t="n">
        <x:v>30420</x:v>
      </x:c>
      <x:c r="L189" s="82" t="n">
        <x:v>0</x:v>
      </x:c>
      <x:c r="M189" s="82" t="n">
        <x:v>30420</x:v>
      </x:c>
      <x:c r="N189" s="80" t="n">
        <x:v>204</x:v>
      </x:c>
    </x:row>
    <x:row r="190">
      <x:c r="A190" s="80" t="n">
        <x:v>2</x:v>
      </x:c>
      <x:c r="B190" s="52" t="str"/>
      <x:c r="C190" s="83" t="str">
        <x:v>PYO DERM PLUS 1000 MG X 40 COMP. (10BL)</x:v>
      </x:c>
      <x:c r="D190" s="83" t="str">
        <x:v>Medicina veterinaria</x:v>
      </x:c>
      <x:c r="E190" s="83" t="str">
        <x:v>Dermatología</x:v>
      </x:c>
      <x:c r="F190" s="83" t="str">
        <x:v>Producto</x:v>
      </x:c>
      <x:c r="G190" s="83" t="str">
        <x:v>No</x:v>
      </x:c>
      <x:c r="H190" s="83" t="str"/>
      <x:c r="I190" s="81" t="n">
        <x:v>3</x:v>
      </x:c>
      <x:c r="J190" s="52" t="str">
        <x:v>40 comp</x:v>
      </x:c>
      <x:c r="K190" s="82" t="n">
        <x:v>19050</x:v>
      </x:c>
      <x:c r="L190" s="82" t="n">
        <x:v>0</x:v>
      </x:c>
      <x:c r="M190" s="82" t="n">
        <x:v>19050</x:v>
      </x:c>
      <x:c r="N190" s="80" t="n">
        <x:v>273</x:v>
      </x:c>
    </x:row>
    <x:row r="191">
      <x:c r="A191" s="80" t="n">
        <x:v>2</x:v>
      </x:c>
      <x:c r="B191" s="52" t="str"/>
      <x:c r="C191" s="83" t="str">
        <x:v>PYO DERM PLUS 125 MG. X 180COMP.</x:v>
      </x:c>
      <x:c r="D191" s="83" t="str">
        <x:v>Medicina veterinaria</x:v>
      </x:c>
      <x:c r="E191" s="83" t="str">
        <x:v>Dermatología</x:v>
      </x:c>
      <x:c r="F191" s="83" t="str">
        <x:v>Producto</x:v>
      </x:c>
      <x:c r="G191" s="83" t="str">
        <x:v>No</x:v>
      </x:c>
      <x:c r="H191" s="83" t="str"/>
      <x:c r="I191" s="81" t="n">
        <x:v>1</x:v>
      </x:c>
      <x:c r="J191" s="52" t="str">
        <x:v>180 comp</x:v>
      </x:c>
      <x:c r="K191" s="82" t="n">
        <x:v>6400</x:v>
      </x:c>
      <x:c r="L191" s="82" t="n">
        <x:v>0</x:v>
      </x:c>
      <x:c r="M191" s="82" t="n">
        <x:v>6400</x:v>
      </x:c>
      <x:c r="N191" s="80" t="n">
        <x:v>274</x:v>
      </x:c>
    </x:row>
    <x:row r="192">
      <x:c r="A192" s="80" t="n">
        <x:v>2</x:v>
      </x:c>
      <x:c r="B192" s="52" t="str"/>
      <x:c r="C192" s="83" t="str">
        <x:v>PYO DERM PLUS 500 MG. X 100 COMP.</x:v>
      </x:c>
      <x:c r="D192" s="83" t="str">
        <x:v>Medicina veterinaria</x:v>
      </x:c>
      <x:c r="E192" s="83" t="str">
        <x:v>Dermatología</x:v>
      </x:c>
      <x:c r="F192" s="83" t="str">
        <x:v>Producto</x:v>
      </x:c>
      <x:c r="G192" s="83" t="str">
        <x:v>No</x:v>
      </x:c>
      <x:c r="H192" s="83" t="str"/>
      <x:c r="I192" s="81" t="n">
        <x:v>2</x:v>
      </x:c>
      <x:c r="J192" s="52" t="str">
        <x:v>100 comp</x:v>
      </x:c>
      <x:c r="K192" s="82" t="n">
        <x:v>15400</x:v>
      </x:c>
      <x:c r="L192" s="82" t="n">
        <x:v>0</x:v>
      </x:c>
      <x:c r="M192" s="82" t="n">
        <x:v>15400</x:v>
      </x:c>
      <x:c r="N192" s="80" t="n">
        <x:v>275</x:v>
      </x:c>
    </x:row>
    <x:row r="193">
      <x:c r="A193" s="80" t="n">
        <x:v>2</x:v>
      </x:c>
      <x:c r="B193" s="52" t="str"/>
      <x:c r="C193" s="83" t="str">
        <x:v>KUALCOHEPAT 20KG X 100 COMP. (10BL)</x:v>
      </x:c>
      <x:c r="D193" s="83" t="str">
        <x:v>Medicina veterinaria</x:v>
      </x:c>
      <x:c r="E193" s="83" t="str">
        <x:v>Digestivo, hepático y urinario</x:v>
      </x:c>
      <x:c r="F193" s="83" t="str">
        <x:v>Producto</x:v>
      </x:c>
      <x:c r="G193" s="83" t="str">
        <x:v>No</x:v>
      </x:c>
      <x:c r="H193" s="83" t="str"/>
      <x:c r="I193" s="81" t="n">
        <x:v>2</x:v>
      </x:c>
      <x:c r="J193" s="52" t="str"/>
      <x:c r="K193" s="82" t="n">
        <x:v>14960</x:v>
      </x:c>
      <x:c r="L193" s="82" t="n">
        <x:v>0</x:v>
      </x:c>
      <x:c r="M193" s="82" t="n">
        <x:v>14960</x:v>
      </x:c>
      <x:c r="N193" s="80" t="n">
        <x:v>161</x:v>
      </x:c>
    </x:row>
    <x:row r="194">
      <x:c r="A194" s="80" t="n">
        <x:v>2</x:v>
      </x:c>
      <x:c r="B194" s="52" t="str"/>
      <x:c r="C194" s="83" t="str">
        <x:v>NOGASTROL HOSPITALARIO X 50 COMP</x:v>
      </x:c>
      <x:c r="D194" s="83" t="str">
        <x:v>Medicina veterinaria</x:v>
      </x:c>
      <x:c r="E194" s="83" t="str">
        <x:v>Digestivo, hepático y urinario</x:v>
      </x:c>
      <x:c r="F194" s="83" t="str">
        <x:v>Producto</x:v>
      </x:c>
      <x:c r="G194" s="83" t="str">
        <x:v>No</x:v>
      </x:c>
      <x:c r="H194" s="83" t="str"/>
      <x:c r="I194" s="81" t="n">
        <x:v>3</x:v>
      </x:c>
      <x:c r="J194" s="52" t="str">
        <x:v>Blister</x:v>
      </x:c>
      <x:c r="K194" s="82" t="n">
        <x:v>34574</x:v>
      </x:c>
      <x:c r="L194" s="82" t="n">
        <x:v>0</x:v>
      </x:c>
      <x:c r="M194" s="82" t="n">
        <x:v>34574</x:v>
      </x:c>
      <x:c r="N194" s="80" t="n">
        <x:v>203</x:v>
      </x:c>
    </x:row>
    <x:row r="195">
      <x:c r="A195" s="80" t="n">
        <x:v>2</x:v>
      </x:c>
      <x:c r="B195" s="52" t="str"/>
      <x:c r="C195" s="83" t="str">
        <x:v>PANTOVIER 10 MG X 100 COMP. HOSPITALARIO</x:v>
      </x:c>
      <x:c r="D195" s="83" t="str">
        <x:v>Medicina veterinaria</x:v>
      </x:c>
      <x:c r="E195" s="83" t="str">
        <x:v>Digestivo, hepático y urinario</x:v>
      </x:c>
      <x:c r="F195" s="83" t="str">
        <x:v>Producto</x:v>
      </x:c>
      <x:c r="G195" s="83" t="str">
        <x:v>No</x:v>
      </x:c>
      <x:c r="H195" s="83" t="str"/>
      <x:c r="I195" s="81" t="n">
        <x:v>3</x:v>
      </x:c>
      <x:c r="J195" s="52" t="str">
        <x:v>Blister</x:v>
      </x:c>
      <x:c r="K195" s="82" t="n">
        <x:v>29295</x:v>
      </x:c>
      <x:c r="L195" s="82" t="n">
        <x:v>0</x:v>
      </x:c>
      <x:c r="M195" s="82" t="n">
        <x:v>29295</x:v>
      </x:c>
      <x:c r="N195" s="80" t="n">
        <x:v>224</x:v>
      </x:c>
    </x:row>
    <x:row r="196">
      <x:c r="A196" s="80" t="n">
        <x:v>2</x:v>
      </x:c>
      <x:c r="B196" s="52" t="str"/>
      <x:c r="C196" s="83" t="str">
        <x:v>PROTELIV GOTAS X 15 ML</x:v>
      </x:c>
      <x:c r="D196" s="83" t="str">
        <x:v>Medicina veterinaria</x:v>
      </x:c>
      <x:c r="E196" s="83" t="str">
        <x:v>Digestivo, hepático y urinario</x:v>
      </x:c>
      <x:c r="F196" s="83" t="str">
        <x:v>Producto</x:v>
      </x:c>
      <x:c r="G196" s="83" t="str">
        <x:v>No</x:v>
      </x:c>
      <x:c r="H196" s="83" t="str"/>
      <x:c r="I196" s="81" t="n">
        <x:v>1</x:v>
      </x:c>
      <x:c r="J196" s="52" t="str">
        <x:v>15 ml</x:v>
      </x:c>
      <x:c r="K196" s="82" t="n">
        <x:v>15100</x:v>
      </x:c>
      <x:c r="L196" s="82" t="n">
        <x:v>0</x:v>
      </x:c>
      <x:c r="M196" s="82" t="n">
        <x:v>15100</x:v>
      </x:c>
      <x:c r="N196" s="80" t="n">
        <x:v>272</x:v>
      </x:c>
    </x:row>
    <x:row r="197">
      <x:c r="A197" s="80" t="n">
        <x:v>2</x:v>
      </x:c>
      <x:c r="B197" s="52" t="str"/>
      <x:c r="C197" s="83" t="str">
        <x:v>SUCRAVET SUSP. X 100 ML</x:v>
      </x:c>
      <x:c r="D197" s="83" t="str">
        <x:v>Medicina veterinaria</x:v>
      </x:c>
      <x:c r="E197" s="83" t="str">
        <x:v>Digestivo, hepático y urinario</x:v>
      </x:c>
      <x:c r="F197" s="83" t="str">
        <x:v>Producto</x:v>
      </x:c>
      <x:c r="G197" s="83" t="str">
        <x:v>No</x:v>
      </x:c>
      <x:c r="H197" s="83" t="str"/>
      <x:c r="I197" s="81" t="n">
        <x:v>4</x:v>
      </x:c>
      <x:c r="J197" s="52" t="str">
        <x:v>und</x:v>
      </x:c>
      <x:c r="K197" s="82" t="n">
        <x:v>64195</x:v>
      </x:c>
      <x:c r="L197" s="82" t="n">
        <x:v>0</x:v>
      </x:c>
      <x:c r="M197" s="82" t="n">
        <x:v>64195</x:v>
      </x:c>
      <x:c r="N197" s="80" t="n">
        <x:v>300</x:v>
      </x:c>
    </x:row>
    <x:row r="198">
      <x:c r="A198" s="80" t="n">
        <x:v>2</x:v>
      </x:c>
      <x:c r="B198" s="52" t="str"/>
      <x:c r="C198" s="83" t="str">
        <x:v>UROVIER X 60 COMP</x:v>
      </x:c>
      <x:c r="D198" s="83" t="str">
        <x:v>Medicina veterinaria</x:v>
      </x:c>
      <x:c r="E198" s="83" t="str">
        <x:v>Digestivo, hepático y urinario</x:v>
      </x:c>
      <x:c r="F198" s="83" t="str">
        <x:v>Producto</x:v>
      </x:c>
      <x:c r="G198" s="83" t="str">
        <x:v>No</x:v>
      </x:c>
      <x:c r="H198" s="83" t="str"/>
      <x:c r="I198" s="81" t="n">
        <x:v>1</x:v>
      </x:c>
      <x:c r="J198" s="52" t="str">
        <x:v>Blister</x:v>
      </x:c>
      <x:c r="K198" s="82" t="n">
        <x:v>8600</x:v>
      </x:c>
      <x:c r="L198" s="82" t="n">
        <x:v>0</x:v>
      </x:c>
      <x:c r="M198" s="82" t="n">
        <x:v>8600</x:v>
      </x:c>
      <x:c r="N198" s="80" t="n">
        <x:v>316</x:v>
      </x:c>
    </x:row>
    <x:row r="199">
      <x:c r="A199" s="80" t="n">
        <x:v>2</x:v>
      </x:c>
      <x:c r="B199" s="52" t="str"/>
      <x:c r="C199" s="83" t="str">
        <x:v>URSOMARINA 10 KG X 50 COMP</x:v>
      </x:c>
      <x:c r="D199" s="83" t="str">
        <x:v>Medicina veterinaria</x:v>
      </x:c>
      <x:c r="E199" s="83" t="str">
        <x:v>Digestivo, hepático y urinario</x:v>
      </x:c>
      <x:c r="F199" s="83" t="str">
        <x:v>Producto</x:v>
      </x:c>
      <x:c r="G199" s="83" t="str">
        <x:v>No</x:v>
      </x:c>
      <x:c r="H199" s="83" t="str"/>
      <x:c r="I199" s="81" t="n">
        <x:v>2</x:v>
      </x:c>
      <x:c r="J199" s="52" t="str">
        <x:v>Blister</x:v>
      </x:c>
      <x:c r="K199" s="82" t="n">
        <x:v>35700</x:v>
      </x:c>
      <x:c r="L199" s="82" t="n">
        <x:v>0</x:v>
      </x:c>
      <x:c r="M199" s="82" t="n">
        <x:v>35700</x:v>
      </x:c>
      <x:c r="N199" s="80" t="n">
        <x:v>317</x:v>
      </x:c>
    </x:row>
    <x:row r="200">
      <x:c r="A200" s="80" t="n">
        <x:v>2</x:v>
      </x:c>
      <x:c r="B200" s="52" t="str"/>
      <x:c r="C200" s="83" t="str">
        <x:v>ALGEN 60 MG. X 120 COMP</x:v>
      </x:c>
      <x:c r="D200" s="83" t="str">
        <x:v>Medicina veterinaria</x:v>
      </x:c>
      <x:c r="E200" s="83" t="str">
        <x:v>Dolor e inflamación</x:v>
      </x:c>
      <x:c r="F200" s="83" t="str">
        <x:v>Producto</x:v>
      </x:c>
      <x:c r="G200" s="83" t="str">
        <x:v>No</x:v>
      </x:c>
      <x:c r="H200" s="83" t="str"/>
      <x:c r="I200" s="81" t="n">
        <x:v>1</x:v>
      </x:c>
      <x:c r="J200" s="52" t="str">
        <x:v>Blister</x:v>
      </x:c>
      <x:c r="K200" s="82" t="n">
        <x:v>7150</x:v>
      </x:c>
      <x:c r="L200" s="82" t="n">
        <x:v>0</x:v>
      </x:c>
      <x:c r="M200" s="82" t="n">
        <x:v>7150</x:v>
      </x:c>
      <x:c r="N200" s="80" t="n">
        <x:v>9</x:v>
      </x:c>
    </x:row>
    <x:row r="201">
      <x:c r="A201" s="80" t="n">
        <x:v>2</x:v>
      </x:c>
      <x:c r="B201" s="52" t="str"/>
      <x:c r="C201" s="83" t="str">
        <x:v>DEXAMETASONA LAMAR 0.5 MG X 100 COMP</x:v>
      </x:c>
      <x:c r="D201" s="83" t="str">
        <x:v>Medicina veterinaria</x:v>
      </x:c>
      <x:c r="E201" s="83" t="str">
        <x:v>Dolor e inflamación</x:v>
      </x:c>
      <x:c r="F201" s="83" t="str">
        <x:v>Producto</x:v>
      </x:c>
      <x:c r="G201" s="83" t="str">
        <x:v>No</x:v>
      </x:c>
      <x:c r="H201" s="83" t="str"/>
      <x:c r="I201" s="81" t="n">
        <x:v>4</x:v>
      </x:c>
      <x:c r="J201" s="52" t="str">
        <x:v>UND</x:v>
      </x:c>
      <x:c r="K201" s="82" t="n">
        <x:v>11000</x:v>
      </x:c>
      <x:c r="L201" s="82" t="n">
        <x:v>0</x:v>
      </x:c>
      <x:c r="M201" s="82" t="n">
        <x:v>11000</x:v>
      </x:c>
      <x:c r="N201" s="80" t="n">
        <x:v>81</x:v>
      </x:c>
    </x:row>
    <x:row r="202">
      <x:c r="A202" s="80" t="n">
        <x:v>2</x:v>
      </x:c>
      <x:c r="B202" s="52" t="str"/>
      <x:c r="C202" s="83" t="str">
        <x:v>MELOXICAM DERMOVET 0.5 MG X 10 COMP</x:v>
      </x:c>
      <x:c r="D202" s="83" t="str">
        <x:v>Medicina veterinaria</x:v>
      </x:c>
      <x:c r="E202" s="83" t="str">
        <x:v>Dolor e inflamación</x:v>
      </x:c>
      <x:c r="F202" s="83" t="str">
        <x:v>Producto</x:v>
      </x:c>
      <x:c r="G202" s="83" t="str">
        <x:v>No</x:v>
      </x:c>
      <x:c r="H202" s="83" t="str"/>
      <x:c r="I202" s="81" t="n">
        <x:v>1</x:v>
      </x:c>
      <x:c r="J202" s="52" t="str"/>
      <x:c r="K202" s="82" t="n">
        <x:v>6800</x:v>
      </x:c>
      <x:c r="L202" s="82" t="n">
        <x:v>0</x:v>
      </x:c>
      <x:c r="M202" s="82" t="n">
        <x:v>6800</x:v>
      </x:c>
      <x:c r="N202" s="80" t="n">
        <x:v>176</x:v>
      </x:c>
    </x:row>
    <x:row r="203">
      <x:c r="A203" s="80" t="n">
        <x:v>2</x:v>
      </x:c>
      <x:c r="B203" s="52" t="str">
        <x:v>9501132017176</x:v>
      </x:c>
      <x:c r="C203" s="83" t="str">
        <x:v>MELOXICAM JENNER 2MG X 100 COMP</x:v>
      </x:c>
      <x:c r="D203" s="83" t="str">
        <x:v>Medicina veterinaria</x:v>
      </x:c>
      <x:c r="E203" s="83" t="str">
        <x:v>Dolor e inflamación</x:v>
      </x:c>
      <x:c r="F203" s="83" t="str">
        <x:v>Producto</x:v>
      </x:c>
      <x:c r="G203" s="83" t="str">
        <x:v>No</x:v>
      </x:c>
      <x:c r="H203" s="83" t="str"/>
      <x:c r="I203" s="81" t="n">
        <x:v>5</x:v>
      </x:c>
      <x:c r="J203" s="52" t="str"/>
      <x:c r="K203" s="82" t="n">
        <x:v>32500</x:v>
      </x:c>
      <x:c r="L203" s="82" t="n">
        <x:v>0</x:v>
      </x:c>
      <x:c r="M203" s="82" t="n">
        <x:v>32500</x:v>
      </x:c>
      <x:c r="N203" s="80" t="n">
        <x:v>177</x:v>
      </x:c>
    </x:row>
    <x:row r="204">
      <x:c r="A204" s="80" t="n">
        <x:v>2</x:v>
      </x:c>
      <x:c r="B204" s="52" t="str"/>
      <x:c r="C204" s="83" t="str">
        <x:v>MELOXIVET GOTAS X 10 ML</x:v>
      </x:c>
      <x:c r="D204" s="83" t="str">
        <x:v>Medicina veterinaria</x:v>
      </x:c>
      <x:c r="E204" s="83" t="str">
        <x:v>Dolor e inflamación</x:v>
      </x:c>
      <x:c r="F204" s="83" t="str">
        <x:v>Producto</x:v>
      </x:c>
      <x:c r="G204" s="83" t="str">
        <x:v>No</x:v>
      </x:c>
      <x:c r="H204" s="83" t="str"/>
      <x:c r="I204" s="81" t="n">
        <x:v>1</x:v>
      </x:c>
      <x:c r="J204" s="52" t="str">
        <x:v>10 ml</x:v>
      </x:c>
      <x:c r="K204" s="82" t="n">
        <x:v>23900</x:v>
      </x:c>
      <x:c r="L204" s="82" t="n">
        <x:v>0</x:v>
      </x:c>
      <x:c r="M204" s="82" t="n">
        <x:v>23900</x:v>
      </x:c>
      <x:c r="N204" s="80" t="n">
        <x:v>178</x:v>
      </x:c>
    </x:row>
    <x:row r="205">
      <x:c r="A205" s="80" t="n">
        <x:v>2</x:v>
      </x:c>
      <x:c r="B205" s="52" t="str"/>
      <x:c r="C205" s="83" t="str">
        <x:v>Prednisol gotas 10 mg</x:v>
      </x:c>
      <x:c r="D205" s="83" t="str">
        <x:v>Medicina veterinaria</x:v>
      </x:c>
      <x:c r="E205" s="83" t="str">
        <x:v>Dolor e inflamación</x:v>
      </x:c>
      <x:c r="F205" s="83" t="str">
        <x:v>Producto</x:v>
      </x:c>
      <x:c r="G205" s="83" t="str">
        <x:v>No</x:v>
      </x:c>
      <x:c r="H205" s="83" t="str"/>
      <x:c r="I205" s="81" t="n">
        <x:v>1</x:v>
      </x:c>
      <x:c r="J205" s="52" t="str">
        <x:v>gotas</x:v>
      </x:c>
      <x:c r="K205" s="82" t="n">
        <x:v>21185</x:v>
      </x:c>
      <x:c r="L205" s="82" t="n">
        <x:v>0</x:v>
      </x:c>
      <x:c r="M205" s="82" t="n">
        <x:v>21185</x:v>
      </x:c>
      <x:c r="N205" s="80" t="n">
        <x:v>265</x:v>
      </x:c>
    </x:row>
    <x:row r="206">
      <x:c r="A206" s="80" t="n">
        <x:v>2</x:v>
      </x:c>
      <x:c r="B206" s="52" t="str"/>
      <x:c r="C206" s="83" t="str">
        <x:v>PREDNISOLONA PYO 20 MG X 100 COMP.</x:v>
      </x:c>
      <x:c r="D206" s="83" t="str">
        <x:v>Medicina veterinaria</x:v>
      </x:c>
      <x:c r="E206" s="83" t="str">
        <x:v>Dolor e inflamación</x:v>
      </x:c>
      <x:c r="F206" s="83" t="str">
        <x:v>Producto</x:v>
      </x:c>
      <x:c r="G206" s="83" t="str">
        <x:v>No</x:v>
      </x:c>
      <x:c r="H206" s="83" t="str"/>
      <x:c r="I206" s="81" t="n">
        <x:v>2</x:v>
      </x:c>
      <x:c r="J206" s="52" t="str">
        <x:v>100 comp</x:v>
      </x:c>
      <x:c r="K206" s="82" t="n">
        <x:v>10300</x:v>
      </x:c>
      <x:c r="L206" s="82" t="n">
        <x:v>0</x:v>
      </x:c>
      <x:c r="M206" s="82" t="n">
        <x:v>10300</x:v>
      </x:c>
      <x:c r="N206" s="80" t="n">
        <x:v>266</x:v>
      </x:c>
    </x:row>
    <x:row r="207">
      <x:c r="A207" s="80" t="n">
        <x:v>2</x:v>
      </x:c>
      <x:c r="B207" s="52" t="str"/>
      <x:c r="C207" s="83" t="str">
        <x:v>TRAMAVIER 80 MG. X 120 COMP</x:v>
      </x:c>
      <x:c r="D207" s="83" t="str">
        <x:v>Medicina veterinaria</x:v>
      </x:c>
      <x:c r="E207" s="83" t="str">
        <x:v>Dolor e inflamación</x:v>
      </x:c>
      <x:c r="F207" s="83" t="str">
        <x:v>Producto</x:v>
      </x:c>
      <x:c r="G207" s="83" t="str">
        <x:v>No</x:v>
      </x:c>
      <x:c r="H207" s="83" t="str"/>
      <x:c r="I207" s="81" t="n">
        <x:v>2</x:v>
      </x:c>
      <x:c r="J207" s="52" t="str">
        <x:v>Blister</x:v>
      </x:c>
      <x:c r="K207" s="82" t="n">
        <x:v>12967.5</x:v>
      </x:c>
      <x:c r="L207" s="82" t="n">
        <x:v>0</x:v>
      </x:c>
      <x:c r="M207" s="82" t="n">
        <x:v>12967.5</x:v>
      </x:c>
      <x:c r="N207" s="80" t="n">
        <x:v>310</x:v>
      </x:c>
    </x:row>
    <x:row r="208">
      <x:c r="A208" s="80" t="n">
        <x:v>2</x:v>
      </x:c>
      <x:c r="B208" s="52" t="str"/>
      <x:c r="C208" s="83" t="str">
        <x:v>T4 X 100 COMP</x:v>
      </x:c>
      <x:c r="D208" s="83" t="str">
        <x:v>Medicina veterinaria</x:v>
      </x:c>
      <x:c r="E208" s="83" t="str">
        <x:v>Endocrinología</x:v>
      </x:c>
      <x:c r="F208" s="83" t="str">
        <x:v>Producto</x:v>
      </x:c>
      <x:c r="G208" s="83" t="str">
        <x:v>No</x:v>
      </x:c>
      <x:c r="H208" s="83" t="str"/>
      <x:c r="I208" s="81" t="n">
        <x:v>2</x:v>
      </x:c>
      <x:c r="J208" s="52" t="str">
        <x:v>Blister</x:v>
      </x:c>
      <x:c r="K208" s="82" t="n">
        <x:v>14535</x:v>
      </x:c>
      <x:c r="L208" s="82" t="n">
        <x:v>0</x:v>
      </x:c>
      <x:c r="M208" s="82" t="n">
        <x:v>14535</x:v>
      </x:c>
      <x:c r="N208" s="80" t="n">
        <x:v>303</x:v>
      </x:c>
    </x:row>
    <x:row r="209">
      <x:c r="A209" s="80" t="n">
        <x:v>2</x:v>
      </x:c>
      <x:c r="B209" s="52" t="str"/>
      <x:c r="C209" s="83" t="str">
        <x:v>Tubos</x:v>
      </x:c>
      <x:c r="D209" s="83" t="str">
        <x:v>Medicina veterinaria</x:v>
      </x:c>
      <x:c r="E209" s="83" t="str">
        <x:v>Insumos clínicos</x:v>
      </x:c>
      <x:c r="F209" s="83" t="str">
        <x:v>Producto</x:v>
      </x:c>
      <x:c r="G209" s="83" t="str">
        <x:v>Sí</x:v>
      </x:c>
      <x:c r="H209" s="83" t="str">
        <x:v>Descripción insuficiente: confirmar tipo de tubo y uso.</x:v>
      </x:c>
      <x:c r="I209" s="81" t="n">
        <x:v>3</x:v>
      </x:c>
      <x:c r="J209" s="52" t="str"/>
      <x:c r="K209" s="82" t="n">
        <x:v>16414</x:v>
      </x:c>
      <x:c r="L209" s="82" t="n">
        <x:v>0</x:v>
      </x:c>
      <x:c r="M209" s="82" t="n">
        <x:v>16414</x:v>
      </x:c>
      <x:c r="N209" s="80" t="n">
        <x:v>312</x:v>
      </x:c>
    </x:row>
    <x:row r="210">
      <x:c r="A210" s="80" t="n">
        <x:v>2</x:v>
      </x:c>
      <x:c r="B210" s="52" t="str"/>
      <x:c r="C210" s="83" t="str">
        <x:v>COLLAR ISAB BLANCO NIKAN N 2</x:v>
      </x:c>
      <x:c r="D210" s="83" t="str">
        <x:v>Medicina veterinaria</x:v>
      </x:c>
      <x:c r="E210" s="83" t="str">
        <x:v>Insumos y recuperación</x:v>
      </x:c>
      <x:c r="F210" s="83" t="str">
        <x:v>Producto</x:v>
      </x:c>
      <x:c r="G210" s="83" t="str">
        <x:v>No</x:v>
      </x:c>
      <x:c r="H210" s="83" t="str"/>
      <x:c r="I210" s="81" t="n">
        <x:v>2</x:v>
      </x:c>
      <x:c r="J210" s="52" t="str">
        <x:v>und</x:v>
      </x:c>
      <x:c r="K210" s="82" t="n">
        <x:v>11800</x:v>
      </x:c>
      <x:c r="L210" s="82" t="n">
        <x:v>0</x:v>
      </x:c>
      <x:c r="M210" s="82" t="n">
        <x:v>11800</x:v>
      </x:c>
      <x:c r="N210" s="80" t="n">
        <x:v>60</x:v>
      </x:c>
    </x:row>
    <x:row r="211">
      <x:c r="A211" s="80" t="n">
        <x:v>2</x:v>
      </x:c>
      <x:c r="B211" s="52" t="str"/>
      <x:c r="C211" s="83" t="str">
        <x:v>COLLAR ISAB BLANCO NIKAN N 3</x:v>
      </x:c>
      <x:c r="D211" s="83" t="str">
        <x:v>Medicina veterinaria</x:v>
      </x:c>
      <x:c r="E211" s="83" t="str">
        <x:v>Insumos y recuperación</x:v>
      </x:c>
      <x:c r="F211" s="83" t="str">
        <x:v>Producto</x:v>
      </x:c>
      <x:c r="G211" s="83" t="str">
        <x:v>No</x:v>
      </x:c>
      <x:c r="H211" s="83" t="str"/>
      <x:c r="I211" s="81" t="n">
        <x:v>1</x:v>
      </x:c>
      <x:c r="J211" s="52" t="str">
        <x:v>und</x:v>
      </x:c>
      <x:c r="K211" s="82" t="n">
        <x:v>7350</x:v>
      </x:c>
      <x:c r="L211" s="82" t="n">
        <x:v>0</x:v>
      </x:c>
      <x:c r="M211" s="82" t="n">
        <x:v>7350</x:v>
      </x:c>
      <x:c r="N211" s="80" t="n">
        <x:v>61</x:v>
      </x:c>
    </x:row>
    <x:row r="212">
      <x:c r="A212" s="80" t="n">
        <x:v>2</x:v>
      </x:c>
      <x:c r="B212" s="52" t="str"/>
      <x:c r="C212" s="83" t="str">
        <x:v>COLLAR ISAB BLANCO NIKAN N 4</x:v>
      </x:c>
      <x:c r="D212" s="83" t="str">
        <x:v>Medicina veterinaria</x:v>
      </x:c>
      <x:c r="E212" s="83" t="str">
        <x:v>Insumos y recuperación</x:v>
      </x:c>
      <x:c r="F212" s="83" t="str">
        <x:v>Producto</x:v>
      </x:c>
      <x:c r="G212" s="83" t="str">
        <x:v>No</x:v>
      </x:c>
      <x:c r="H212" s="83" t="str"/>
      <x:c r="I212" s="81" t="n">
        <x:v>1</x:v>
      </x:c>
      <x:c r="J212" s="52" t="str">
        <x:v>und</x:v>
      </x:c>
      <x:c r="K212" s="82" t="n">
        <x:v>9550</x:v>
      </x:c>
      <x:c r="L212" s="82" t="n">
        <x:v>0</x:v>
      </x:c>
      <x:c r="M212" s="82" t="n">
        <x:v>9550</x:v>
      </x:c>
      <x:c r="N212" s="80" t="n">
        <x:v>62</x:v>
      </x:c>
    </x:row>
    <x:row r="213">
      <x:c r="A213" s="80" t="n">
        <x:v>2</x:v>
      </x:c>
      <x:c r="B213" s="52" t="str"/>
      <x:c r="C213" s="83" t="str">
        <x:v>COLLAR ISAB NIKAN N 0</x:v>
      </x:c>
      <x:c r="D213" s="83" t="str">
        <x:v>Medicina veterinaria</x:v>
      </x:c>
      <x:c r="E213" s="83" t="str">
        <x:v>Insumos y recuperación</x:v>
      </x:c>
      <x:c r="F213" s="83" t="str">
        <x:v>Producto</x:v>
      </x:c>
      <x:c r="G213" s="83" t="str">
        <x:v>No</x:v>
      </x:c>
      <x:c r="H213" s="83" t="str"/>
      <x:c r="I213" s="81" t="n">
        <x:v>1</x:v>
      </x:c>
      <x:c r="J213" s="52" t="str">
        <x:v>und</x:v>
      </x:c>
      <x:c r="K213" s="82" t="n">
        <x:v>3850</x:v>
      </x:c>
      <x:c r="L213" s="82" t="n">
        <x:v>0</x:v>
      </x:c>
      <x:c r="M213" s="82" t="n">
        <x:v>3850</x:v>
      </x:c>
      <x:c r="N213" s="80" t="n">
        <x:v>63</x:v>
      </x:c>
    </x:row>
    <x:row r="214">
      <x:c r="A214" s="80" t="n">
        <x:v>2</x:v>
      </x:c>
      <x:c r="B214" s="52" t="str"/>
      <x:c r="C214" s="83" t="str">
        <x:v>MALLAS POSQUIRURGICA ELASTIKAN TALLA 1</x:v>
      </x:c>
      <x:c r="D214" s="83" t="str">
        <x:v>Medicina veterinaria</x:v>
      </x:c>
      <x:c r="E214" s="83" t="str">
        <x:v>Insumos y recuperación</x:v>
      </x:c>
      <x:c r="F214" s="83" t="str">
        <x:v>Producto</x:v>
      </x:c>
      <x:c r="G214" s="83" t="str">
        <x:v>No</x:v>
      </x:c>
      <x:c r="H214" s="83" t="str"/>
      <x:c r="I214" s="81" t="n">
        <x:v>1</x:v>
      </x:c>
      <x:c r="J214" s="52" t="str">
        <x:v>UND</x:v>
      </x:c>
      <x:c r="K214" s="82" t="n">
        <x:v>11000</x:v>
      </x:c>
      <x:c r="L214" s="82" t="n">
        <x:v>0</x:v>
      </x:c>
      <x:c r="M214" s="82" t="n">
        <x:v>11000</x:v>
      </x:c>
      <x:c r="N214" s="80" t="n">
        <x:v>165</x:v>
      </x:c>
    </x:row>
    <x:row r="215">
      <x:c r="A215" s="80" t="n">
        <x:v>2</x:v>
      </x:c>
      <x:c r="B215" s="52" t="str"/>
      <x:c r="C215" s="83" t="str">
        <x:v>MALLAS POSQUIRURGICA ELASTIKAN TALLA 2</x:v>
      </x:c>
      <x:c r="D215" s="83" t="str">
        <x:v>Medicina veterinaria</x:v>
      </x:c>
      <x:c r="E215" s="83" t="str">
        <x:v>Insumos y recuperación</x:v>
      </x:c>
      <x:c r="F215" s="83" t="str">
        <x:v>Producto</x:v>
      </x:c>
      <x:c r="G215" s="83" t="str">
        <x:v>No</x:v>
      </x:c>
      <x:c r="H215" s="83" t="str"/>
      <x:c r="I215" s="81" t="n">
        <x:v>1</x:v>
      </x:c>
      <x:c r="J215" s="52" t="str">
        <x:v>UND</x:v>
      </x:c>
      <x:c r="K215" s="82" t="n">
        <x:v>13000</x:v>
      </x:c>
      <x:c r="L215" s="82" t="n">
        <x:v>0</x:v>
      </x:c>
      <x:c r="M215" s="82" t="n">
        <x:v>13000</x:v>
      </x:c>
      <x:c r="N215" s="80" t="n">
        <x:v>166</x:v>
      </x:c>
    </x:row>
    <x:row r="216">
      <x:c r="A216" s="80" t="n">
        <x:v>2</x:v>
      </x:c>
      <x:c r="B216" s="52" t="str"/>
      <x:c r="C216" s="83" t="str">
        <x:v>MALLAS POSQUIRURGICAS ELASTIKAN TALLA 3</x:v>
      </x:c>
      <x:c r="D216" s="83" t="str">
        <x:v>Medicina veterinaria</x:v>
      </x:c>
      <x:c r="E216" s="83" t="str">
        <x:v>Insumos y recuperación</x:v>
      </x:c>
      <x:c r="F216" s="83" t="str">
        <x:v>Producto</x:v>
      </x:c>
      <x:c r="G216" s="83" t="str">
        <x:v>No</x:v>
      </x:c>
      <x:c r="H216" s="83" t="str"/>
      <x:c r="I216" s="81" t="n">
        <x:v>1</x:v>
      </x:c>
      <x:c r="J216" s="52" t="str">
        <x:v>UND</x:v>
      </x:c>
      <x:c r="K216" s="82" t="n">
        <x:v>15000</x:v>
      </x:c>
      <x:c r="L216" s="82" t="n">
        <x:v>0</x:v>
      </x:c>
      <x:c r="M216" s="82" t="n">
        <x:v>15000</x:v>
      </x:c>
      <x:c r="N216" s="80" t="n">
        <x:v>167</x:v>
      </x:c>
    </x:row>
    <x:row r="217">
      <x:c r="A217" s="80" t="n">
        <x:v>2</x:v>
      </x:c>
      <x:c r="B217" s="52" t="str"/>
      <x:c r="C217" s="83" t="str">
        <x:v>ACEDAN GOTAS X 10 ML</x:v>
      </x:c>
      <x:c r="D217" s="83" t="str">
        <x:v>Medicina veterinaria</x:v>
      </x:c>
      <x:c r="E217" s="83" t="str">
        <x:v>Neurología y comportamiento</x:v>
      </x:c>
      <x:c r="F217" s="83" t="str">
        <x:v>Producto</x:v>
      </x:c>
      <x:c r="G217" s="83" t="str">
        <x:v>No</x:v>
      </x:c>
      <x:c r="H217" s="83" t="str"/>
      <x:c r="I217" s="81" t="n">
        <x:v>1</x:v>
      </x:c>
      <x:c r="J217" s="52" t="str">
        <x:v>10 ml</x:v>
      </x:c>
      <x:c r="K217" s="82" t="n">
        <x:v>6700</x:v>
      </x:c>
      <x:c r="L217" s="82" t="n">
        <x:v>0</x:v>
      </x:c>
      <x:c r="M217" s="82" t="n">
        <x:v>6700</x:v>
      </x:c>
      <x:c r="N217" s="80" t="n">
        <x:v>7</x:v>
      </x:c>
    </x:row>
    <x:row r="218">
      <x:c r="A218" s="80" t="n">
        <x:v>2</x:v>
      </x:c>
      <x:c r="B218" s="52" t="str"/>
      <x:c r="C218" s="83" t="str">
        <x:v>FENOBARBITAL P-100 X 30 C PALAT.</x:v>
      </x:c>
      <x:c r="D218" s="83" t="str">
        <x:v>Medicina veterinaria</x:v>
      </x:c>
      <x:c r="E218" s="83" t="str">
        <x:v>Neurología y comportamiento</x:v>
      </x:c>
      <x:c r="F218" s="83" t="str">
        <x:v>Producto</x:v>
      </x:c>
      <x:c r="G218" s="83" t="str">
        <x:v>No</x:v>
      </x:c>
      <x:c r="H218" s="83" t="str"/>
      <x:c r="I218" s="81" t="n">
        <x:v>3</x:v>
      </x:c>
      <x:c r="J218" s="52" t="str">
        <x:v>30 comp</x:v>
      </x:c>
      <x:c r="K218" s="82" t="n">
        <x:v>28597.5</x:v>
      </x:c>
      <x:c r="L218" s="82" t="n">
        <x:v>0</x:v>
      </x:c>
      <x:c r="M218" s="82" t="n">
        <x:v>28597.5</x:v>
      </x:c>
      <x:c r="N218" s="80" t="n">
        <x:v>120</x:v>
      </x:c>
    </x:row>
    <x:row r="219">
      <x:c r="A219" s="80" t="n">
        <x:v>2</x:v>
      </x:c>
      <x:c r="B219" s="52" t="str"/>
      <x:c r="C219" s="83" t="str">
        <x:v>FENOBARBITAL P-G 40 MG. X 30 COMP.</x:v>
      </x:c>
      <x:c r="D219" s="83" t="str">
        <x:v>Medicina veterinaria</x:v>
      </x:c>
      <x:c r="E219" s="83" t="str">
        <x:v>Neurología y comportamiento</x:v>
      </x:c>
      <x:c r="F219" s="83" t="str">
        <x:v>Producto</x:v>
      </x:c>
      <x:c r="G219" s="83" t="str">
        <x:v>No</x:v>
      </x:c>
      <x:c r="H219" s="83" t="str"/>
      <x:c r="I219" s="81" t="n">
        <x:v>3</x:v>
      </x:c>
      <x:c r="J219" s="52" t="str">
        <x:v>30 comp</x:v>
      </x:c>
      <x:c r="K219" s="82" t="n">
        <x:v>13113</x:v>
      </x:c>
      <x:c r="L219" s="82" t="n">
        <x:v>0</x:v>
      </x:c>
      <x:c r="M219" s="82" t="n">
        <x:v>13113</x:v>
      </x:c>
      <x:c r="N219" s="80" t="n">
        <x:v>121</x:v>
      </x:c>
    </x:row>
    <x:row r="220">
      <x:c r="A220" s="80" t="n">
        <x:v>2</x:v>
      </x:c>
      <x:c r="B220" s="52" t="str"/>
      <x:c r="C220" s="83" t="str">
        <x:v>OHM HOME PERROS COMPRIMIDOSX 21</x:v>
      </x:c>
      <x:c r="D220" s="83" t="str">
        <x:v>Medicina veterinaria</x:v>
      </x:c>
      <x:c r="E220" s="83" t="str">
        <x:v>Neurología y comportamiento</x:v>
      </x:c>
      <x:c r="F220" s="83" t="str">
        <x:v>Producto</x:v>
      </x:c>
      <x:c r="G220" s="83" t="str">
        <x:v>No</x:v>
      </x:c>
      <x:c r="H220" s="83" t="str"/>
      <x:c r="I220" s="81" t="n">
        <x:v>1</x:v>
      </x:c>
      <x:c r="J220" s="52" t="str">
        <x:v>21 Comp</x:v>
      </x:c>
      <x:c r="K220" s="82" t="n">
        <x:v>19710</x:v>
      </x:c>
      <x:c r="L220" s="82" t="n">
        <x:v>0</x:v>
      </x:c>
      <x:c r="M220" s="82" t="n">
        <x:v>19710</x:v>
      </x:c>
      <x:c r="N220" s="80" t="n">
        <x:v>206</x:v>
      </x:c>
    </x:row>
    <x:row r="221">
      <x:c r="A221" s="80" t="n">
        <x:v>2</x:v>
      </x:c>
      <x:c r="B221" s="52" t="str"/>
      <x:c r="C221" s="83" t="str">
        <x:v>OHM JERINGA X 7G (PASTA P/GATOS)</x:v>
      </x:c>
      <x:c r="D221" s="83" t="str">
        <x:v>Medicina veterinaria</x:v>
      </x:c>
      <x:c r="E221" s="83" t="str">
        <x:v>Neurología y comportamiento</x:v>
      </x:c>
      <x:c r="F221" s="83" t="str">
        <x:v>Producto</x:v>
      </x:c>
      <x:c r="G221" s="83" t="str">
        <x:v>No</x:v>
      </x:c>
      <x:c r="H221" s="83" t="str"/>
      <x:c r="I221" s="81" t="n">
        <x:v>1</x:v>
      </x:c>
      <x:c r="J221" s="52" t="str">
        <x:v>7 gr</x:v>
      </x:c>
      <x:c r="K221" s="82" t="n">
        <x:v>17250</x:v>
      </x:c>
      <x:c r="L221" s="82" t="n">
        <x:v>0</x:v>
      </x:c>
      <x:c r="M221" s="82" t="n">
        <x:v>17250</x:v>
      </x:c>
      <x:c r="N221" s="80" t="n">
        <x:v>207</x:v>
      </x:c>
    </x:row>
    <x:row r="222">
      <x:c r="A222" s="80" t="n">
        <x:v>2</x:v>
      </x:c>
      <x:c r="B222" s="52" t="str">
        <x:v>50010219</x:v>
      </x:c>
      <x:c r="C222" s="83" t="str">
        <x:v>SERENEX SPRAY CANINO 25 ML</x:v>
      </x:c>
      <x:c r="D222" s="83" t="str">
        <x:v>Medicina veterinaria</x:v>
      </x:c>
      <x:c r="E222" s="83" t="str">
        <x:v>Neurología y comportamiento</x:v>
      </x:c>
      <x:c r="F222" s="83" t="str">
        <x:v>Producto</x:v>
      </x:c>
      <x:c r="G222" s="83" t="str">
        <x:v>No</x:v>
      </x:c>
      <x:c r="H222" s="83" t="str"/>
      <x:c r="I222" s="81" t="n">
        <x:v>1</x:v>
      </x:c>
      <x:c r="J222" s="52" t="str"/>
      <x:c r="K222" s="82" t="n">
        <x:v>20200</x:v>
      </x:c>
      <x:c r="L222" s="82" t="n">
        <x:v>0</x:v>
      </x:c>
      <x:c r="M222" s="82" t="n">
        <x:v>20200</x:v>
      </x:c>
      <x:c r="N222" s="80" t="n">
        <x:v>4</x:v>
      </x:c>
    </x:row>
    <x:row r="223">
      <x:c r="A223" s="80" t="n">
        <x:v>2</x:v>
      </x:c>
      <x:c r="B223" s="52" t="str">
        <x:v>50010218</x:v>
      </x:c>
      <x:c r="C223" s="83" t="str">
        <x:v>SERENEX SPRAY FELINO 25 ML</x:v>
      </x:c>
      <x:c r="D223" s="83" t="str">
        <x:v>Medicina veterinaria</x:v>
      </x:c>
      <x:c r="E223" s="83" t="str">
        <x:v>Neurología y comportamiento</x:v>
      </x:c>
      <x:c r="F223" s="83" t="str">
        <x:v>Producto</x:v>
      </x:c>
      <x:c r="G223" s="83" t="str">
        <x:v>No</x:v>
      </x:c>
      <x:c r="H223" s="83" t="str"/>
      <x:c r="I223" s="81" t="n">
        <x:v>1</x:v>
      </x:c>
      <x:c r="J223" s="52" t="str"/>
      <x:c r="K223" s="82" t="n">
        <x:v>20480</x:v>
      </x:c>
      <x:c r="L223" s="82" t="n">
        <x:v>0</x:v>
      </x:c>
      <x:c r="M223" s="82" t="n">
        <x:v>20480</x:v>
      </x:c>
      <x:c r="N223" s="80" t="n">
        <x:v>5</x:v>
      </x:c>
    </x:row>
    <x:row r="224">
      <x:c r="A224" s="80" t="n">
        <x:v>2</x:v>
      </x:c>
      <x:c r="B224" s="52" t="str"/>
      <x:c r="C224" s="83" t="str">
        <x:v>Ocuflox Colirio Gotas x 5 ML</x:v>
      </x:c>
      <x:c r="D224" s="83" t="str">
        <x:v>Medicina veterinaria</x:v>
      </x:c>
      <x:c r="E224" s="83" t="str">
        <x:v>Oftalmología</x:v>
      </x:c>
      <x:c r="F224" s="83" t="str">
        <x:v>Producto</x:v>
      </x:c>
      <x:c r="G224" s="83" t="str">
        <x:v>No</x:v>
      </x:c>
      <x:c r="H224" s="83" t="str"/>
      <x:c r="I224" s="81" t="n">
        <x:v>1</x:v>
      </x:c>
      <x:c r="J224" s="52" t="str">
        <x:v>5 ml</x:v>
      </x:c>
      <x:c r="K224" s="82" t="n">
        <x:v>23130</x:v>
      </x:c>
      <x:c r="L224" s="82" t="n">
        <x:v>0</x:v>
      </x:c>
      <x:c r="M224" s="82" t="n">
        <x:v>23130</x:v>
      </x:c>
      <x:c r="N224" s="80" t="n">
        <x:v>205</x:v>
      </x:c>
    </x:row>
    <x:row r="225">
      <x:c r="A225" s="80" t="n">
        <x:v>2</x:v>
      </x:c>
      <x:c r="B225" s="52" t="str"/>
      <x:c r="C225" s="83" t="str">
        <x:v>SOFTAL COLIRIO GOT. X 10 ML</x:v>
      </x:c>
      <x:c r="D225" s="83" t="str">
        <x:v>Medicina veterinaria</x:v>
      </x:c>
      <x:c r="E225" s="83" t="str">
        <x:v>Oftalmología</x:v>
      </x:c>
      <x:c r="F225" s="83" t="str">
        <x:v>Producto</x:v>
      </x:c>
      <x:c r="G225" s="83" t="str">
        <x:v>No</x:v>
      </x:c>
      <x:c r="H225" s="83" t="str"/>
      <x:c r="I225" s="81" t="n">
        <x:v>1</x:v>
      </x:c>
      <x:c r="J225" s="52" t="str">
        <x:v>10 ml</x:v>
      </x:c>
      <x:c r="K225" s="82" t="n">
        <x:v>9405</x:v>
      </x:c>
      <x:c r="L225" s="82" t="n">
        <x:v>0</x:v>
      </x:c>
      <x:c r="M225" s="82" t="n">
        <x:v>9405</x:v>
      </x:c>
      <x:c r="N225" s="80" t="n">
        <x:v>296</x:v>
      </x:c>
    </x:row>
    <x:row r="226">
      <x:c r="A226" s="80" t="n">
        <x:v>2</x:v>
      </x:c>
      <x:c r="B226" s="52" t="str"/>
      <x:c r="C226" s="83" t="str">
        <x:v>ARTRIN (PALATABLE) X 30 COMP.</x:v>
      </x:c>
      <x:c r="D226" s="83" t="str">
        <x:v>Medicina veterinaria</x:v>
      </x:c>
      <x:c r="E226" s="83" t="str">
        <x:v>Suplementos articulares</x:v>
      </x:c>
      <x:c r="F226" s="83" t="str">
        <x:v>Producto</x:v>
      </x:c>
      <x:c r="G226" s="83" t="str">
        <x:v>No</x:v>
      </x:c>
      <x:c r="H226" s="83" t="str"/>
      <x:c r="I226" s="81" t="n">
        <x:v>5</x:v>
      </x:c>
      <x:c r="J226" s="52" t="str">
        <x:v>30 comp</x:v>
      </x:c>
      <x:c r="K226" s="82" t="n">
        <x:v>34425</x:v>
      </x:c>
      <x:c r="L226" s="82" t="n">
        <x:v>0</x:v>
      </x:c>
      <x:c r="M226" s="82" t="n">
        <x:v>34425</x:v>
      </x:c>
      <x:c r="N226" s="80" t="n">
        <x:v>21</x:v>
      </x:c>
    </x:row>
    <x:row r="227">
      <x:c r="A227" s="80" t="n">
        <x:v>2</x:v>
      </x:c>
      <x:c r="B227" s="52" t="str"/>
      <x:c r="C227" s="83" t="str">
        <x:v>ARTROFLEX X( 28 COMP) X BLISTER</x:v>
      </x:c>
      <x:c r="D227" s="83" t="str">
        <x:v>Medicina veterinaria</x:v>
      </x:c>
      <x:c r="E227" s="83" t="str">
        <x:v>Suplementos articulares</x:v>
      </x:c>
      <x:c r="F227" s="83" t="str">
        <x:v>Producto</x:v>
      </x:c>
      <x:c r="G227" s="83" t="str">
        <x:v>No</x:v>
      </x:c>
      <x:c r="H227" s="83" t="str"/>
      <x:c r="I227" s="81" t="n">
        <x:v>1</x:v>
      </x:c>
      <x:c r="J227" s="52" t="str">
        <x:v>BLISTER</x:v>
      </x:c>
      <x:c r="K227" s="82" t="n">
        <x:v>77200</x:v>
      </x:c>
      <x:c r="L227" s="82" t="n">
        <x:v>0</x:v>
      </x:c>
      <x:c r="M227" s="82" t="n">
        <x:v>77200</x:v>
      </x:c>
      <x:c r="N227" s="80" t="n">
        <x:v>22</x:v>
      </x:c>
    </x:row>
    <x:row r="228">
      <x:c r="A228" s="80" t="n">
        <x:v>2</x:v>
      </x:c>
      <x:c r="B228" s="52" t="str"/>
      <x:c r="C228" s="83" t="str">
        <x:v>OL TRANS FLEX HOSPITALARIO X 70 CS</x:v>
      </x:c>
      <x:c r="D228" s="83" t="str">
        <x:v>Medicina veterinaria</x:v>
      </x:c>
      <x:c r="E228" s="83" t="str">
        <x:v>Suplementos articulares</x:v>
      </x:c>
      <x:c r="F228" s="83" t="str">
        <x:v>Producto</x:v>
      </x:c>
      <x:c r="G228" s="83" t="str">
        <x:v>No</x:v>
      </x:c>
      <x:c r="H228" s="83" t="str"/>
      <x:c r="I228" s="81" t="n">
        <x:v>1</x:v>
      </x:c>
      <x:c r="J228" s="52" t="str">
        <x:v>Blister</x:v>
      </x:c>
      <x:c r="K228" s="82" t="n">
        <x:v>61400</x:v>
      </x:c>
      <x:c r="L228" s="82" t="n">
        <x:v>0</x:v>
      </x:c>
      <x:c r="M228" s="82" t="n">
        <x:v>61400</x:v>
      </x:c>
      <x:c r="N228" s="80" t="n">
        <x:v>208</x:v>
      </x:c>
    </x:row>
    <x:row r="229">
      <x:c r="A229" s="80" t="n">
        <x:v>3</x:v>
      </x:c>
      <x:c r="B229" s="52" t="str">
        <x:v>1062</x:v>
      </x:c>
      <x:c r="C229" s="83" t="str">
        <x:v>BANDEJA CHICA</x:v>
      </x:c>
      <x:c r="D229" s="83" t="str">
        <x:v>Accesorios</x:v>
      </x:c>
      <x:c r="E229" s="83" t="str">
        <x:v>Accesorios sanitarios</x:v>
      </x:c>
      <x:c r="F229" s="83" t="str">
        <x:v>Producto</x:v>
      </x:c>
      <x:c r="G229" s="83" t="str">
        <x:v>No</x:v>
      </x:c>
      <x:c r="H229" s="83" t="str"/>
      <x:c r="I229" s="81" t="n">
        <x:v>1</x:v>
      </x:c>
      <x:c r="J229" s="52" t="str"/>
      <x:c r="K229" s="82" t="n">
        <x:v>4900</x:v>
      </x:c>
      <x:c r="L229" s="82" t="n">
        <x:v>0</x:v>
      </x:c>
      <x:c r="M229" s="82" t="n">
        <x:v>4900</x:v>
      </x:c>
      <x:c r="N229" s="80" t="n">
        <x:v>26</x:v>
      </x:c>
    </x:row>
    <x:row r="230">
      <x:c r="A230" s="80" t="n">
        <x:v>3</x:v>
      </x:c>
      <x:c r="B230" s="52" t="str"/>
      <x:c r="C230" s="83" t="str">
        <x:v>BANDEJA SANITARIA MEDIUM</x:v>
      </x:c>
      <x:c r="D230" s="83" t="str">
        <x:v>Accesorios</x:v>
      </x:c>
      <x:c r="E230" s="83" t="str">
        <x:v>Accesorios sanitarios</x:v>
      </x:c>
      <x:c r="F230" s="83" t="str">
        <x:v>Producto</x:v>
      </x:c>
      <x:c r="G230" s="83" t="str">
        <x:v>No</x:v>
      </x:c>
      <x:c r="H230" s="83" t="str"/>
      <x:c r="I230" s="81" t="n">
        <x:v>2</x:v>
      </x:c>
      <x:c r="J230" s="52" t="str"/>
      <x:c r="K230" s="82" t="n">
        <x:v>7800</x:v>
      </x:c>
      <x:c r="L230" s="82" t="n">
        <x:v>0</x:v>
      </x:c>
      <x:c r="M230" s="82" t="n">
        <x:v>7800</x:v>
      </x:c>
      <x:c r="N230" s="80" t="n">
        <x:v>27</x:v>
      </x:c>
    </x:row>
    <x:row r="231">
      <x:c r="A231" s="80" t="n">
        <x:v>3</x:v>
      </x:c>
      <x:c r="B231" s="52" t="str">
        <x:v>1063</x:v>
      </x:c>
      <x:c r="C231" s="83" t="str">
        <x:v>BANDEJA SANITARIA MEDIUM</x:v>
      </x:c>
      <x:c r="D231" s="83" t="str">
        <x:v>Accesorios</x:v>
      </x:c>
      <x:c r="E231" s="83" t="str">
        <x:v>Accesorios sanitarios</x:v>
      </x:c>
      <x:c r="F231" s="83" t="str">
        <x:v>Producto</x:v>
      </x:c>
      <x:c r="G231" s="83" t="str">
        <x:v>No</x:v>
      </x:c>
      <x:c r="H231" s="83" t="str"/>
      <x:c r="I231" s="81" t="n">
        <x:v>1</x:v>
      </x:c>
      <x:c r="J231" s="52" t="str"/>
      <x:c r="K231" s="82" t="n">
        <x:v>3650</x:v>
      </x:c>
      <x:c r="L231" s="82" t="n">
        <x:v>0</x:v>
      </x:c>
      <x:c r="M231" s="82" t="n">
        <x:v>3650</x:v>
      </x:c>
      <x:c r="N231" s="80" t="n">
        <x:v>28</x:v>
      </x:c>
    </x:row>
    <x:row r="232">
      <x:c r="A232" s="80" t="n">
        <x:v>3</x:v>
      </x:c>
      <x:c r="B232" s="52" t="str">
        <x:v>GA5060</x:v>
      </x:c>
      <x:c r="C232" s="83" t="str">
        <x:v>PALITA SANITARIA PROFUNDA PLASTICA</x:v>
      </x:c>
      <x:c r="D232" s="83" t="str">
        <x:v>Accesorios</x:v>
      </x:c>
      <x:c r="E232" s="83" t="str">
        <x:v>Accesorios sanitarios</x:v>
      </x:c>
      <x:c r="F232" s="83" t="str">
        <x:v>Producto</x:v>
      </x:c>
      <x:c r="G232" s="83" t="str">
        <x:v>No</x:v>
      </x:c>
      <x:c r="H232" s="83" t="str"/>
      <x:c r="I232" s="81" t="n">
        <x:v>3</x:v>
      </x:c>
      <x:c r="J232" s="52" t="str"/>
      <x:c r="K232" s="82" t="n">
        <x:v>8990</x:v>
      </x:c>
      <x:c r="L232" s="82" t="n">
        <x:v>0</x:v>
      </x:c>
      <x:c r="M232" s="82" t="n">
        <x:v>8990</x:v>
      </x:c>
      <x:c r="N232" s="80" t="n">
        <x:v>223</x:v>
      </x:c>
    </x:row>
    <x:row r="233">
      <x:c r="A233" s="80" t="n">
        <x:v>3</x:v>
      </x:c>
      <x:c r="B233" s="52" t="str">
        <x:v>SYT129</x:v>
      </x:c>
      <x:c r="C233" s="83" t="str">
        <x:v>BOWL ACERO CUADRADO SMALL</x:v>
      </x:c>
      <x:c r="D233" s="83" t="str">
        <x:v>Accesorios</x:v>
      </x:c>
      <x:c r="E233" s="83" t="str">
        <x:v>Comederos y bebederos</x:v>
      </x:c>
      <x:c r="F233" s="83" t="str">
        <x:v>Producto</x:v>
      </x:c>
      <x:c r="G233" s="83" t="str">
        <x:v>No</x:v>
      </x:c>
      <x:c r="H233" s="83" t="str"/>
      <x:c r="I233" s="81" t="n">
        <x:v>1</x:v>
      </x:c>
      <x:c r="J233" s="52" t="str">
        <x:v>und</x:v>
      </x:c>
      <x:c r="K233" s="82" t="n">
        <x:v>13050</x:v>
      </x:c>
      <x:c r="L233" s="82" t="n">
        <x:v>0</x:v>
      </x:c>
      <x:c r="M233" s="82" t="n">
        <x:v>13050</x:v>
      </x:c>
      <x:c r="N233" s="80" t="n">
        <x:v>40</x:v>
      </x:c>
    </x:row>
    <x:row r="234">
      <x:c r="A234" s="80" t="n">
        <x:v>3</x:v>
      </x:c>
      <x:c r="B234" s="52" t="str">
        <x:v>2060</x:v>
      </x:c>
      <x:c r="C234" s="83" t="str">
        <x:v>Alicate Corta Uña Mini</x:v>
      </x:c>
      <x:c r="D234" s="83" t="str">
        <x:v>Accesorios</x:v>
      </x:c>
      <x:c r="E234" s="83" t="str">
        <x:v>Cuidado y grooming</x:v>
      </x:c>
      <x:c r="F234" s="83" t="str">
        <x:v>Producto</x:v>
      </x:c>
      <x:c r="G234" s="83" t="str">
        <x:v>No</x:v>
      </x:c>
      <x:c r="H234" s="83" t="str"/>
      <x:c r="I234" s="81" t="n">
        <x:v>1</x:v>
      </x:c>
      <x:c r="J234" s="52" t="str">
        <x:v>und</x:v>
      </x:c>
      <x:c r="K234" s="82" t="n">
        <x:v>3920</x:v>
      </x:c>
      <x:c r="L234" s="82" t="n">
        <x:v>0</x:v>
      </x:c>
      <x:c r="M234" s="82" t="n">
        <x:v>3920</x:v>
      </x:c>
      <x:c r="N234" s="80" t="n">
        <x:v>10</x:v>
      </x:c>
    </x:row>
    <x:row r="235">
      <x:c r="A235" s="80" t="n">
        <x:v>3</x:v>
      </x:c>
      <x:c r="B235" s="52" t="str">
        <x:v>SD176</x:v>
      </x:c>
      <x:c r="C235" s="83" t="str">
        <x:v>ALICATE GUILLOTINA</x:v>
      </x:c>
      <x:c r="D235" s="83" t="str">
        <x:v>Accesorios</x:v>
      </x:c>
      <x:c r="E235" s="83" t="str">
        <x:v>Cuidado y grooming</x:v>
      </x:c>
      <x:c r="F235" s="83" t="str">
        <x:v>Producto</x:v>
      </x:c>
      <x:c r="G235" s="83" t="str">
        <x:v>No</x:v>
      </x:c>
      <x:c r="H235" s="83" t="str"/>
      <x:c r="I235" s="81" t="n">
        <x:v>1</x:v>
      </x:c>
      <x:c r="J235" s="52" t="str">
        <x:v>und</x:v>
      </x:c>
      <x:c r="K235" s="82" t="n">
        <x:v>8450</x:v>
      </x:c>
      <x:c r="L235" s="82" t="n">
        <x:v>0</x:v>
      </x:c>
      <x:c r="M235" s="82" t="n">
        <x:v>8450</x:v>
      </x:c>
      <x:c r="N235" s="80" t="n">
        <x:v>11</x:v>
      </x:c>
    </x:row>
    <x:row r="236">
      <x:c r="A236" s="80" t="n">
        <x:v>3</x:v>
      </x:c>
      <x:c r="B236" s="52" t="str">
        <x:v>MT003</x:v>
      </x:c>
      <x:c r="C236" s="83" t="str">
        <x:v>CEPILLO A PAVOR COMUN</x:v>
      </x:c>
      <x:c r="D236" s="83" t="str">
        <x:v>Accesorios</x:v>
      </x:c>
      <x:c r="E236" s="83" t="str">
        <x:v>Cuidado y grooming</x:v>
      </x:c>
      <x:c r="F236" s="83" t="str">
        <x:v>Producto</x:v>
      </x:c>
      <x:c r="G236" s="83" t="str">
        <x:v>No</x:v>
      </x:c>
      <x:c r="H236" s="83" t="str"/>
      <x:c r="I236" s="81" t="n">
        <x:v>1</x:v>
      </x:c>
      <x:c r="J236" s="52" t="str">
        <x:v>und</x:v>
      </x:c>
      <x:c r="K236" s="82" t="n">
        <x:v>11700</x:v>
      </x:c>
      <x:c r="L236" s="82" t="n">
        <x:v>0</x:v>
      </x:c>
      <x:c r="M236" s="82" t="n">
        <x:v>11700</x:v>
      </x:c>
      <x:c r="N236" s="80" t="n">
        <x:v>49</x:v>
      </x:c>
    </x:row>
    <x:row r="237">
      <x:c r="A237" s="80" t="n">
        <x:v>3</x:v>
      </x:c>
      <x:c r="B237" s="52" t="str">
        <x:v>SD047</x:v>
      </x:c>
      <x:c r="C237" s="83" t="str">
        <x:v>FURMI PET BRUSH S/S</x:v>
      </x:c>
      <x:c r="D237" s="83" t="str">
        <x:v>Accesorios</x:v>
      </x:c>
      <x:c r="E237" s="83" t="str">
        <x:v>Cuidado y grooming</x:v>
      </x:c>
      <x:c r="F237" s="83" t="str">
        <x:v>Producto</x:v>
      </x:c>
      <x:c r="G237" s="83" t="str">
        <x:v>No</x:v>
      </x:c>
      <x:c r="H237" s="83" t="str"/>
      <x:c r="I237" s="81" t="n">
        <x:v>1</x:v>
      </x:c>
      <x:c r="J237" s="52" t="str"/>
      <x:c r="K237" s="82" t="n">
        <x:v>23000</x:v>
      </x:c>
      <x:c r="L237" s="82" t="n">
        <x:v>0</x:v>
      </x:c>
      <x:c r="M237" s="82" t="n">
        <x:v>23000</x:v>
      </x:c>
      <x:c r="N237" s="80" t="n">
        <x:v>134</x:v>
      </x:c>
    </x:row>
    <x:row r="238">
      <x:c r="A238" s="80" t="n">
        <x:v>3</x:v>
      </x:c>
      <x:c r="B238" s="52" t="str">
        <x:v>52</x:v>
      </x:c>
      <x:c r="C238" s="83" t="str">
        <x:v>Cama NORDICA tamaño "L</x:v>
      </x:c>
      <x:c r="D238" s="83" t="str">
        <x:v>Accesorios</x:v>
      </x:c>
      <x:c r="E238" s="83" t="str">
        <x:v>Descanso</x:v>
      </x:c>
      <x:c r="F238" s="83" t="str">
        <x:v>Producto</x:v>
      </x:c>
      <x:c r="G238" s="83" t="str">
        <x:v>No</x:v>
      </x:c>
      <x:c r="H238" s="83" t="str"/>
      <x:c r="I238" s="81" t="n">
        <x:v>2</x:v>
      </x:c>
      <x:c r="J238" s="52" t="str">
        <x:v>und</x:v>
      </x:c>
      <x:c r="K238" s="82" t="n">
        <x:v>190650</x:v>
      </x:c>
      <x:c r="L238" s="82" t="n">
        <x:v>0</x:v>
      </x:c>
      <x:c r="M238" s="82" t="n">
        <x:v>190650</x:v>
      </x:c>
      <x:c r="N238" s="80" t="n">
        <x:v>43</x:v>
      </x:c>
    </x:row>
    <x:row r="239">
      <x:c r="A239" s="80" t="n">
        <x:v>3</x:v>
      </x:c>
      <x:c r="B239" s="52" t="str">
        <x:v>50</x:v>
      </x:c>
      <x:c r="C239" s="83" t="str">
        <x:v>Cama NORDICA tamaño "S"</x:v>
      </x:c>
      <x:c r="D239" s="83" t="str">
        <x:v>Accesorios</x:v>
      </x:c>
      <x:c r="E239" s="83" t="str">
        <x:v>Descanso</x:v>
      </x:c>
      <x:c r="F239" s="83" t="str">
        <x:v>Producto</x:v>
      </x:c>
      <x:c r="G239" s="83" t="str">
        <x:v>No</x:v>
      </x:c>
      <x:c r="H239" s="83" t="str"/>
      <x:c r="I239" s="81" t="n">
        <x:v>3</x:v>
      </x:c>
      <x:c r="J239" s="52" t="str">
        <x:v>und</x:v>
      </x:c>
      <x:c r="K239" s="82" t="n">
        <x:v>138155</x:v>
      </x:c>
      <x:c r="L239" s="82" t="n">
        <x:v>0</x:v>
      </x:c>
      <x:c r="M239" s="82" t="n">
        <x:v>138155</x:v>
      </x:c>
      <x:c r="N239" s="80" t="n">
        <x:v>44</x:v>
      </x:c>
    </x:row>
    <x:row r="240">
      <x:c r="A240" s="80" t="n">
        <x:v>3</x:v>
      </x:c>
      <x:c r="B240" s="52" t="str">
        <x:v>COL01</x:v>
      </x:c>
      <x:c r="C240" s="83" t="str">
        <x:v>Colchoneta Antidesgarro Talla 3 (M)</x:v>
      </x:c>
      <x:c r="D240" s="83" t="str">
        <x:v>Accesorios</x:v>
      </x:c>
      <x:c r="E240" s="83" t="str">
        <x:v>Descanso</x:v>
      </x:c>
      <x:c r="F240" s="83" t="str">
        <x:v>Producto</x:v>
      </x:c>
      <x:c r="G240" s="83" t="str">
        <x:v>No</x:v>
      </x:c>
      <x:c r="H240" s="83" t="str"/>
      <x:c r="I240" s="81" t="n">
        <x:v>1</x:v>
      </x:c>
      <x:c r="J240" s="52" t="str">
        <x:v>und</x:v>
      </x:c>
      <x:c r="K240" s="82" t="n">
        <x:v>44900</x:v>
      </x:c>
      <x:c r="L240" s="82" t="n">
        <x:v>0</x:v>
      </x:c>
      <x:c r="M240" s="82" t="n">
        <x:v>44900</x:v>
      </x:c>
      <x:c r="N240" s="80" t="n">
        <x:v>59</x:v>
      </x:c>
    </x:row>
    <x:row r="241">
      <x:c r="A241" s="80" t="n">
        <x:v>3</x:v>
      </x:c>
      <x:c r="B241" s="52" t="str">
        <x:v>5655</x:v>
      </x:c>
      <x:c r="C241" s="83" t="str">
        <x:v>MOICES X 3 SAN ROQUE</x:v>
      </x:c>
      <x:c r="D241" s="83" t="str">
        <x:v>Accesorios</x:v>
      </x:c>
      <x:c r="E241" s="83" t="str">
        <x:v>Descanso</x:v>
      </x:c>
      <x:c r="F241" s="83" t="str">
        <x:v>Producto</x:v>
      </x:c>
      <x:c r="G241" s="83" t="str">
        <x:v>Sí</x:v>
      </x:c>
      <x:c r="H241" s="83" t="str">
        <x:v>Se interpretó 'MOICES' como 'moisés/cama'; validar el nombre original.</x:v>
      </x:c>
      <x:c r="I241" s="81" t="n">
        <x:v>1</x:v>
      </x:c>
      <x:c r="J241" s="52" t="str"/>
      <x:c r="K241" s="82" t="n">
        <x:v>39000</x:v>
      </x:c>
      <x:c r="L241" s="82" t="n">
        <x:v>0</x:v>
      </x:c>
      <x:c r="M241" s="82" t="n">
        <x:v>39000</x:v>
      </x:c>
      <x:c r="N241" s="80" t="n">
        <x:v>192</x:v>
      </x:c>
    </x:row>
    <x:row r="242">
      <x:c r="A242" s="80" t="n">
        <x:v>3</x:v>
      </x:c>
      <x:c r="B242" s="52" t="str">
        <x:v>12570876</x:v>
      </x:c>
      <x:c r="C242" s="83" t="str">
        <x:v>ANTEOJOS PARA MASCOTA</x:v>
      </x:c>
      <x:c r="D242" s="83" t="str">
        <x:v>Accesorios</x:v>
      </x:c>
      <x:c r="E242" s="83" t="str">
        <x:v>Indumentaria</x:v>
      </x:c>
      <x:c r="F242" s="83" t="str">
        <x:v>Producto</x:v>
      </x:c>
      <x:c r="G242" s="83" t="str">
        <x:v>No</x:v>
      </x:c>
      <x:c r="H242" s="83" t="str"/>
      <x:c r="I242" s="81" t="n">
        <x:v>1</x:v>
      </x:c>
      <x:c r="J242" s="52" t="str"/>
      <x:c r="K242" s="82" t="n">
        <x:v>6000</x:v>
      </x:c>
      <x:c r="L242" s="82" t="n">
        <x:v>0</x:v>
      </x:c>
      <x:c r="M242" s="82" t="n">
        <x:v>6000</x:v>
      </x:c>
      <x:c r="N242" s="80" t="n">
        <x:v>13</x:v>
      </x:c>
    </x:row>
    <x:row r="243">
      <x:c r="A243" s="80" t="n">
        <x:v>3</x:v>
      </x:c>
      <x:c r="B243" s="52" t="str">
        <x:v>150 L</x:v>
      </x:c>
      <x:c r="C243" s="83" t="str">
        <x:v>CAMISA L</x:v>
      </x:c>
      <x:c r="D243" s="83" t="str">
        <x:v>Accesorios</x:v>
      </x:c>
      <x:c r="E243" s="83" t="str">
        <x:v>Indumentaria</x:v>
      </x:c>
      <x:c r="F243" s="83" t="str">
        <x:v>Producto</x:v>
      </x:c>
      <x:c r="G243" s="83" t="str">
        <x:v>No</x:v>
      </x:c>
      <x:c r="H243" s="83" t="str"/>
      <x:c r="I243" s="81" t="n">
        <x:v>1</x:v>
      </x:c>
      <x:c r="J243" s="52" t="str">
        <x:v>und</x:v>
      </x:c>
      <x:c r="K243" s="82" t="n">
        <x:v>18350</x:v>
      </x:c>
      <x:c r="L243" s="82" t="n">
        <x:v>0</x:v>
      </x:c>
      <x:c r="M243" s="82" t="n">
        <x:v>18350</x:v>
      </x:c>
      <x:c r="N243" s="80" t="n">
        <x:v>45</x:v>
      </x:c>
    </x:row>
    <x:row r="244">
      <x:c r="A244" s="80" t="n">
        <x:v>3</x:v>
      </x:c>
      <x:c r="B244" s="52" t="str"/>
      <x:c r="C244" s="83" t="str">
        <x:v>ROPA 14456-10 M-L-XL-XXL ROPMPI</x:v>
      </x:c>
      <x:c r="D244" s="83" t="str">
        <x:v>Accesorios</x:v>
      </x:c>
      <x:c r="E244" s="83" t="str">
        <x:v>Indumentaria</x:v>
      </x:c>
      <x:c r="F244" s="83" t="str">
        <x:v>Producto</x:v>
      </x:c>
      <x:c r="G244" s="83" t="str">
        <x:v>No</x:v>
      </x:c>
      <x:c r="H244" s="83" t="str"/>
      <x:c r="I244" s="81" t="n">
        <x:v>1</x:v>
      </x:c>
      <x:c r="J244" s="52" t="str">
        <x:v>und</x:v>
      </x:c>
      <x:c r="K244" s="82" t="n">
        <x:v>9550</x:v>
      </x:c>
      <x:c r="L244" s="82" t="n">
        <x:v>0</x:v>
      </x:c>
      <x:c r="M244" s="82" t="n">
        <x:v>9550</x:v>
      </x:c>
      <x:c r="N244" s="80" t="n">
        <x:v>283</x:v>
      </x:c>
    </x:row>
    <x:row r="245">
      <x:c r="A245" s="80" t="n">
        <x:v>3</x:v>
      </x:c>
      <x:c r="B245" s="52" t="str"/>
      <x:c r="C245" s="83" t="str">
        <x:v>ROPA Y-14996-15 S-M-L-XL ROPMPI</x:v>
      </x:c>
      <x:c r="D245" s="83" t="str">
        <x:v>Accesorios</x:v>
      </x:c>
      <x:c r="E245" s="83" t="str">
        <x:v>Indumentaria</x:v>
      </x:c>
      <x:c r="F245" s="83" t="str">
        <x:v>Producto</x:v>
      </x:c>
      <x:c r="G245" s="83" t="str">
        <x:v>No</x:v>
      </x:c>
      <x:c r="H245" s="83" t="str"/>
      <x:c r="I245" s="81" t="n">
        <x:v>1</x:v>
      </x:c>
      <x:c r="J245" s="52" t="str">
        <x:v>und</x:v>
      </x:c>
      <x:c r="K245" s="82" t="n">
        <x:v>11600</x:v>
      </x:c>
      <x:c r="L245" s="82" t="n">
        <x:v>0</x:v>
      </x:c>
      <x:c r="M245" s="82" t="n">
        <x:v>11600</x:v>
      </x:c>
      <x:c r="N245" s="80" t="n">
        <x:v>284</x:v>
      </x:c>
    </x:row>
    <x:row r="246">
      <x:c r="A246" s="80" t="n">
        <x:v>3</x:v>
      </x:c>
      <x:c r="B246" s="52" t="str">
        <x:v>2142</x:v>
      </x:c>
      <x:c r="C246" s="83" t="str">
        <x:v>JUGUETE BLISTER GATO</x:v>
      </x:c>
      <x:c r="D246" s="83" t="str">
        <x:v>Accesorios</x:v>
      </x:c>
      <x:c r="E246" s="83" t="str">
        <x:v>Juguetes</x:v>
      </x:c>
      <x:c r="F246" s="83" t="str">
        <x:v>Producto</x:v>
      </x:c>
      <x:c r="G246" s="83" t="str">
        <x:v>No</x:v>
      </x:c>
      <x:c r="H246" s="83" t="str"/>
      <x:c r="I246" s="81" t="n">
        <x:v>1</x:v>
      </x:c>
      <x:c r="J246" s="52" t="str"/>
      <x:c r="K246" s="82" t="n">
        <x:v>2700</x:v>
      </x:c>
      <x:c r="L246" s="82" t="n">
        <x:v>0</x:v>
      </x:c>
      <x:c r="M246" s="82" t="n">
        <x:v>2700</x:v>
      </x:c>
      <x:c r="N246" s="80" t="n">
        <x:v>156</x:v>
      </x:c>
    </x:row>
    <x:row r="247">
      <x:c r="A247" s="80" t="n">
        <x:v>3</x:v>
      </x:c>
      <x:c r="B247" s="52" t="str">
        <x:v>2031</x:v>
      </x:c>
      <x:c r="C247" s="83" t="str">
        <x:v>JUGUETE PARA GATO BLISTER - RATA/PELOTA</x:v>
      </x:c>
      <x:c r="D247" s="83" t="str">
        <x:v>Accesorios</x:v>
      </x:c>
      <x:c r="E247" s="83" t="str">
        <x:v>Juguetes</x:v>
      </x:c>
      <x:c r="F247" s="83" t="str">
        <x:v>Producto</x:v>
      </x:c>
      <x:c r="G247" s="83" t="str">
        <x:v>No</x:v>
      </x:c>
      <x:c r="H247" s="83" t="str"/>
      <x:c r="I247" s="81" t="n">
        <x:v>1</x:v>
      </x:c>
      <x:c r="J247" s="52" t="str"/>
      <x:c r="K247" s="82" t="n">
        <x:v>2430</x:v>
      </x:c>
      <x:c r="L247" s="82" t="n">
        <x:v>0</x:v>
      </x:c>
      <x:c r="M247" s="82" t="n">
        <x:v>2430</x:v>
      </x:c>
      <x:c r="N247" s="80" t="n">
        <x:v>157</x:v>
      </x:c>
    </x:row>
    <x:row r="248">
      <x:c r="A248" s="80" t="n">
        <x:v>3</x:v>
      </x:c>
      <x:c r="B248" s="52" t="str">
        <x:v>COOL09</x:v>
      </x:c>
      <x:c r="C248" s="83" t="str">
        <x:v>PELOTA CON PLUMAS CAJA EXHIBIDORA X16</x:v>
      </x:c>
      <x:c r="D248" s="83" t="str">
        <x:v>Accesorios</x:v>
      </x:c>
      <x:c r="E248" s="83" t="str">
        <x:v>Juguetes</x:v>
      </x:c>
      <x:c r="F248" s="83" t="str">
        <x:v>Producto</x:v>
      </x:c>
      <x:c r="G248" s="83" t="str">
        <x:v>No</x:v>
      </x:c>
      <x:c r="H248" s="83" t="str"/>
      <x:c r="I248" s="81" t="n">
        <x:v>1</x:v>
      </x:c>
      <x:c r="J248" s="52" t="str">
        <x:v>und</x:v>
      </x:c>
      <x:c r="K248" s="82" t="n">
        <x:v>4000</x:v>
      </x:c>
      <x:c r="L248" s="82" t="n">
        <x:v>0</x:v>
      </x:c>
      <x:c r="M248" s="82" t="n">
        <x:v>4000</x:v>
      </x:c>
      <x:c r="N248" s="80" t="n">
        <x:v>239</x:v>
      </x:c>
    </x:row>
    <x:row r="249">
      <x:c r="A249" s="80" t="n">
        <x:v>3</x:v>
      </x:c>
      <x:c r="B249" s="52" t="str">
        <x:v>SYT118</x:v>
      </x:c>
      <x:c r="C249" s="83" t="str">
        <x:v>PELUCHE PATO</x:v>
      </x:c>
      <x:c r="D249" s="83" t="str">
        <x:v>Accesorios</x:v>
      </x:c>
      <x:c r="E249" s="83" t="str">
        <x:v>Juguetes</x:v>
      </x:c>
      <x:c r="F249" s="83" t="str">
        <x:v>Producto</x:v>
      </x:c>
      <x:c r="G249" s="83" t="str">
        <x:v>No</x:v>
      </x:c>
      <x:c r="H249" s="83" t="str"/>
      <x:c r="I249" s="81" t="n">
        <x:v>1</x:v>
      </x:c>
      <x:c r="J249" s="52" t="str">
        <x:v>und</x:v>
      </x:c>
      <x:c r="K249" s="82" t="n">
        <x:v>25000</x:v>
      </x:c>
      <x:c r="L249" s="82" t="n">
        <x:v>0</x:v>
      </x:c>
      <x:c r="M249" s="82" t="n">
        <x:v>25000</x:v>
      </x:c>
      <x:c r="N249" s="80" t="n">
        <x:v>240</x:v>
      </x:c>
    </x:row>
    <x:row r="250">
      <x:c r="A250" s="80" t="n">
        <x:v>3</x:v>
      </x:c>
      <x:c r="B250" s="52" t="str">
        <x:v>MID04</x:v>
      </x:c>
      <x:c r="C250" s="83" t="str">
        <x:v>TIRADOR MOÑO</x:v>
      </x:c>
      <x:c r="D250" s="83" t="str">
        <x:v>Accesorios</x:v>
      </x:c>
      <x:c r="E250" s="83" t="str">
        <x:v>Juguetes</x:v>
      </x:c>
      <x:c r="F250" s="83" t="str">
        <x:v>Producto</x:v>
      </x:c>
      <x:c r="G250" s="83" t="str">
        <x:v>No</x:v>
      </x:c>
      <x:c r="H250" s="83" t="str"/>
      <x:c r="I250" s="81" t="n">
        <x:v>1</x:v>
      </x:c>
      <x:c r="J250" s="52" t="str">
        <x:v>und</x:v>
      </x:c>
      <x:c r="K250" s="82" t="n">
        <x:v>10250</x:v>
      </x:c>
      <x:c r="L250" s="82" t="n">
        <x:v>0</x:v>
      </x:c>
      <x:c r="M250" s="82" t="n">
        <x:v>10250</x:v>
      </x:c>
      <x:c r="N250" s="80" t="n">
        <x:v>304</x:v>
      </x:c>
    </x:row>
    <x:row r="251">
      <x:c r="A251" s="80" t="n">
        <x:v>3</x:v>
      </x:c>
      <x:c r="B251" s="52" t="str">
        <x:v>COOL11</x:v>
      </x:c>
      <x:c r="C251" s="83" t="str">
        <x:v>TORTUGA A CUERDA</x:v>
      </x:c>
      <x:c r="D251" s="83" t="str">
        <x:v>Accesorios</x:v>
      </x:c>
      <x:c r="E251" s="83" t="str">
        <x:v>Juguetes</x:v>
      </x:c>
      <x:c r="F251" s="83" t="str">
        <x:v>Producto</x:v>
      </x:c>
      <x:c r="G251" s="83" t="str">
        <x:v>No</x:v>
      </x:c>
      <x:c r="H251" s="83" t="str"/>
      <x:c r="I251" s="81" t="n">
        <x:v>1</x:v>
      </x:c>
      <x:c r="J251" s="52" t="str">
        <x:v>und</x:v>
      </x:c>
      <x:c r="K251" s="82" t="n">
        <x:v>10200</x:v>
      </x:c>
      <x:c r="L251" s="82" t="n">
        <x:v>0</x:v>
      </x:c>
      <x:c r="M251" s="82" t="n">
        <x:v>10200</x:v>
      </x:c>
      <x:c r="N251" s="80" t="n">
        <x:v>305</x:v>
      </x:c>
    </x:row>
    <x:row r="252">
      <x:c r="A252" s="80" t="n">
        <x:v>3</x:v>
      </x:c>
      <x:c r="B252" s="52" t="str">
        <x:v>SD201</x:v>
      </x:c>
      <x:c r="C252" s="83" t="str">
        <x:v>TUNEL PARA GATO 4 SALIDAS</x:v>
      </x:c>
      <x:c r="D252" s="83" t="str">
        <x:v>Accesorios</x:v>
      </x:c>
      <x:c r="E252" s="83" t="str">
        <x:v>Juguetes</x:v>
      </x:c>
      <x:c r="F252" s="83" t="str">
        <x:v>Producto</x:v>
      </x:c>
      <x:c r="G252" s="83" t="str">
        <x:v>No</x:v>
      </x:c>
      <x:c r="H252" s="83" t="str"/>
      <x:c r="I252" s="81" t="n">
        <x:v>1</x:v>
      </x:c>
      <x:c r="J252" s="52" t="str">
        <x:v>und</x:v>
      </x:c>
      <x:c r="K252" s="82" t="n">
        <x:v>18180</x:v>
      </x:c>
      <x:c r="L252" s="82" t="n">
        <x:v>0</x:v>
      </x:c>
      <x:c r="M252" s="82" t="n">
        <x:v>18180</x:v>
      </x:c>
      <x:c r="N252" s="80" t="n">
        <x:v>313</x:v>
      </x:c>
    </x:row>
    <x:row r="253">
      <x:c r="A253" s="80" t="n">
        <x:v>3</x:v>
      </x:c>
      <x:c r="B253" s="52" t="str">
        <x:v>SYM025</x:v>
      </x:c>
      <x:c r="C253" s="83" t="str">
        <x:v>VARITA MOTIVO BEBIDA</x:v>
      </x:c>
      <x:c r="D253" s="83" t="str">
        <x:v>Accesorios</x:v>
      </x:c>
      <x:c r="E253" s="83" t="str">
        <x:v>Juguetes</x:v>
      </x:c>
      <x:c r="F253" s="83" t="str">
        <x:v>Producto</x:v>
      </x:c>
      <x:c r="G253" s="83" t="str">
        <x:v>No</x:v>
      </x:c>
      <x:c r="H253" s="83" t="str"/>
      <x:c r="I253" s="81" t="n">
        <x:v>1</x:v>
      </x:c>
      <x:c r="J253" s="52" t="str">
        <x:v>und</x:v>
      </x:c>
      <x:c r="K253" s="82" t="n">
        <x:v>9495</x:v>
      </x:c>
      <x:c r="L253" s="82" t="n">
        <x:v>0</x:v>
      </x:c>
      <x:c r="M253" s="82" t="n">
        <x:v>9495</x:v>
      </x:c>
      <x:c r="N253" s="80" t="n">
        <x:v>323</x:v>
      </x:c>
    </x:row>
    <x:row r="254">
      <x:c r="A254" s="80" t="n">
        <x:v>3</x:v>
      </x:c>
      <x:c r="B254" s="52" t="str">
        <x:v>SYM080</x:v>
      </x:c>
      <x:c r="C254" s="83" t="str">
        <x:v>CORREA CON MANGO DE GOMA</x:v>
      </x:c>
      <x:c r="D254" s="83" t="str">
        <x:v>Accesorios</x:v>
      </x:c>
      <x:c r="E254" s="83" t="str">
        <x:v>Paseo</x:v>
      </x:c>
      <x:c r="F254" s="83" t="str">
        <x:v>Producto</x:v>
      </x:c>
      <x:c r="G254" s="83" t="str">
        <x:v>No</x:v>
      </x:c>
      <x:c r="H254" s="83" t="str"/>
      <x:c r="I254" s="81" t="n">
        <x:v>2</x:v>
      </x:c>
      <x:c r="J254" s="52" t="str">
        <x:v>UND</x:v>
      </x:c>
      <x:c r="K254" s="82" t="n">
        <x:v>24450</x:v>
      </x:c>
      <x:c r="L254" s="82" t="n">
        <x:v>0</x:v>
      </x:c>
      <x:c r="M254" s="82" t="n">
        <x:v>24450</x:v>
      </x:c>
      <x:c r="N254" s="80" t="n">
        <x:v>66</x:v>
      </x:c>
    </x:row>
    <x:row r="255">
      <x:c r="A255" s="80" t="n">
        <x:v>3</x:v>
      </x:c>
      <x:c r="B255" s="52" t="str">
        <x:v>JY1008</x:v>
      </x:c>
      <x:c r="C255" s="83" t="str">
        <x:v>Pechera con correa L</x:v>
      </x:c>
      <x:c r="D255" s="83" t="str">
        <x:v>Accesorios</x:v>
      </x:c>
      <x:c r="E255" s="83" t="str">
        <x:v>Paseo</x:v>
      </x:c>
      <x:c r="F255" s="83" t="str">
        <x:v>Producto</x:v>
      </x:c>
      <x:c r="G255" s="83" t="str">
        <x:v>No</x:v>
      </x:c>
      <x:c r="H255" s="83" t="str"/>
      <x:c r="I255" s="81" t="n">
        <x:v>1</x:v>
      </x:c>
      <x:c r="J255" s="52" t="str"/>
      <x:c r="K255" s="82" t="n">
        <x:v>14800</x:v>
      </x:c>
      <x:c r="L255" s="82" t="n">
        <x:v>0</x:v>
      </x:c>
      <x:c r="M255" s="82" t="n">
        <x:v>14800</x:v>
      </x:c>
      <x:c r="N255" s="80" t="n">
        <x:v>231</x:v>
      </x:c>
    </x:row>
    <x:row r="256">
      <x:c r="A256" s="80" t="n">
        <x:v>3</x:v>
      </x:c>
      <x:c r="B256" s="52" t="str">
        <x:v>PPDS</x:v>
      </x:c>
      <x:c r="C256" s="83" t="str">
        <x:v>Pechera PET DOG S de 60cm a 75cm</x:v>
      </x:c>
      <x:c r="D256" s="83" t="str">
        <x:v>Accesorios</x:v>
      </x:c>
      <x:c r="E256" s="83" t="str">
        <x:v>Paseo</x:v>
      </x:c>
      <x:c r="F256" s="83" t="str">
        <x:v>Producto</x:v>
      </x:c>
      <x:c r="G256" s="83" t="str">
        <x:v>No</x:v>
      </x:c>
      <x:c r="H256" s="83" t="str"/>
      <x:c r="I256" s="81" t="n">
        <x:v>1</x:v>
      </x:c>
      <x:c r="J256" s="52" t="str"/>
      <x:c r="K256" s="82" t="n">
        <x:v>18600</x:v>
      </x:c>
      <x:c r="L256" s="82" t="n">
        <x:v>0</x:v>
      </x:c>
      <x:c r="M256" s="82" t="n">
        <x:v>18600</x:v>
      </x:c>
      <x:c r="N256" s="80" t="n">
        <x:v>232</x:v>
      </x:c>
    </x:row>
    <x:row r="257">
      <x:c r="A257" s="80" t="n">
        <x:v>3</x:v>
      </x:c>
      <x:c r="B257" s="52" t="str">
        <x:v>SD141</x:v>
      </x:c>
      <x:c r="C257" s="83" t="str">
        <x:v>PORTABOLSA REDONDO</x:v>
      </x:c>
      <x:c r="D257" s="83" t="str">
        <x:v>Accesorios</x:v>
      </x:c>
      <x:c r="E257" s="83" t="str">
        <x:v>Paseo</x:v>
      </x:c>
      <x:c r="F257" s="83" t="str">
        <x:v>Producto</x:v>
      </x:c>
      <x:c r="G257" s="83" t="str">
        <x:v>No</x:v>
      </x:c>
      <x:c r="H257" s="83" t="str"/>
      <x:c r="I257" s="81" t="n">
        <x:v>1</x:v>
      </x:c>
      <x:c r="J257" s="52" t="str">
        <x:v>und</x:v>
      </x:c>
      <x:c r="K257" s="82" t="n">
        <x:v>11100</x:v>
      </x:c>
      <x:c r="L257" s="82" t="n">
        <x:v>0</x:v>
      </x:c>
      <x:c r="M257" s="82" t="n">
        <x:v>11100</x:v>
      </x:c>
      <x:c r="N257" s="80" t="n">
        <x:v>258</x:v>
      </x:c>
    </x:row>
    <x:row r="258">
      <x:c r="A258" s="80" t="n">
        <x:v>3</x:v>
      </x:c>
      <x:c r="B258" s="52" t="str">
        <x:v>18</x:v>
      </x:c>
      <x:c r="C258" s="83" t="str">
        <x:v>Pretal 30 mm</x:v>
      </x:c>
      <x:c r="D258" s="83" t="str">
        <x:v>Accesorios</x:v>
      </x:c>
      <x:c r="E258" s="83" t="str">
        <x:v>Paseo</x:v>
      </x:c>
      <x:c r="F258" s="83" t="str">
        <x:v>Producto</x:v>
      </x:c>
      <x:c r="G258" s="83" t="str">
        <x:v>No</x:v>
      </x:c>
      <x:c r="H258" s="83" t="str"/>
      <x:c r="I258" s="81" t="n">
        <x:v>1</x:v>
      </x:c>
      <x:c r="J258" s="52" t="str">
        <x:v>und</x:v>
      </x:c>
      <x:c r="K258" s="82" t="n">
        <x:v>7400</x:v>
      </x:c>
      <x:c r="L258" s="82" t="n">
        <x:v>0</x:v>
      </x:c>
      <x:c r="M258" s="82" t="n">
        <x:v>7400</x:v>
      </x:c>
      <x:c r="N258" s="80" t="n">
        <x:v>267</x:v>
      </x:c>
    </x:row>
    <x:row r="259">
      <x:c r="A259" s="80" t="n">
        <x:v>3</x:v>
      </x:c>
      <x:c r="B259" s="52" t="str">
        <x:v>9501132017197</x:v>
      </x:c>
      <x:c r="C259" s="83" t="str">
        <x:v>PRETAL ALUMA TALLA 1 Y 2</x:v>
      </x:c>
      <x:c r="D259" s="83" t="str">
        <x:v>Accesorios</x:v>
      </x:c>
      <x:c r="E259" s="83" t="str">
        <x:v>Paseo</x:v>
      </x:c>
      <x:c r="F259" s="83" t="str">
        <x:v>Producto</x:v>
      </x:c>
      <x:c r="G259" s="83" t="str">
        <x:v>No</x:v>
      </x:c>
      <x:c r="H259" s="83" t="str"/>
      <x:c r="I259" s="81" t="n">
        <x:v>1</x:v>
      </x:c>
      <x:c r="J259" s="52" t="str"/>
      <x:c r="K259" s="82" t="n">
        <x:v>12350</x:v>
      </x:c>
      <x:c r="L259" s="82" t="n">
        <x:v>0</x:v>
      </x:c>
      <x:c r="M259" s="82" t="n">
        <x:v>12350</x:v>
      </x:c>
      <x:c r="N259" s="80" t="n">
        <x:v>268</x:v>
      </x:c>
    </x:row>
    <x:row r="260">
      <x:c r="A260" s="80" t="n">
        <x:v>3</x:v>
      </x:c>
      <x:c r="B260" s="52" t="str">
        <x:v>SD145</x:v>
      </x:c>
      <x:c r="C260" s="83" t="str">
        <x:v>REPUESTO BOLSA X 3 PCS (PACK X 24 UNIDADES)</x:v>
      </x:c>
      <x:c r="D260" s="83" t="str">
        <x:v>Accesorios</x:v>
      </x:c>
      <x:c r="E260" s="83" t="str">
        <x:v>Paseo</x:v>
      </x:c>
      <x:c r="F260" s="83" t="str">
        <x:v>Producto</x:v>
      </x:c>
      <x:c r="G260" s="83" t="str">
        <x:v>No</x:v>
      </x:c>
      <x:c r="H260" s="83" t="str"/>
      <x:c r="I260" s="81" t="n">
        <x:v>4</x:v>
      </x:c>
      <x:c r="J260" s="52" t="str">
        <x:v>und</x:v>
      </x:c>
      <x:c r="K260" s="82" t="n">
        <x:v>10000</x:v>
      </x:c>
      <x:c r="L260" s="82" t="n">
        <x:v>0</x:v>
      </x:c>
      <x:c r="M260" s="82" t="n">
        <x:v>10000</x:v>
      </x:c>
      <x:c r="N260" s="80" t="n">
        <x:v>279</x:v>
      </x:c>
    </x:row>
    <x:row r="261">
      <x:c r="A261" s="80" t="n">
        <x:v>3</x:v>
      </x:c>
      <x:c r="B261" s="52" t="str">
        <x:v>70312</x:v>
      </x:c>
      <x:c r="C261" s="83" t="str">
        <x:v>Repuesto bolsitas para caca x 3</x:v>
      </x:c>
      <x:c r="D261" s="83" t="str">
        <x:v>Accesorios</x:v>
      </x:c>
      <x:c r="E261" s="83" t="str">
        <x:v>Paseo</x:v>
      </x:c>
      <x:c r="F261" s="83" t="str">
        <x:v>Producto</x:v>
      </x:c>
      <x:c r="G261" s="83" t="str">
        <x:v>No</x:v>
      </x:c>
      <x:c r="H261" s="83" t="str"/>
      <x:c r="I261" s="81" t="n">
        <x:v>3</x:v>
      </x:c>
      <x:c r="J261" s="52" t="str"/>
      <x:c r="K261" s="82" t="n">
        <x:v>7350</x:v>
      </x:c>
      <x:c r="L261" s="82" t="n">
        <x:v>0</x:v>
      </x:c>
      <x:c r="M261" s="82" t="n">
        <x:v>7350</x:v>
      </x:c>
      <x:c r="N261" s="80" t="n">
        <x:v>280</x:v>
      </x:c>
    </x:row>
    <x:row r="262">
      <x:c r="A262" s="80" t="n">
        <x:v>4</x:v>
      </x:c>
      <x:c r="B262" s="52" t="str"/>
      <x:c r="C262" s="83" t="str">
        <x:v>PAÑAL PAÑOS PET GRANDE 3 KG</x:v>
      </x:c>
      <x:c r="D262" s="83" t="str">
        <x:v>Higiene y cuidado</x:v>
      </x:c>
      <x:c r="E262" s="83" t="str">
        <x:v>Absorbentes y limpieza</x:v>
      </x:c>
      <x:c r="F262" s="83" t="str">
        <x:v>Producto</x:v>
      </x:c>
      <x:c r="G262" s="83" t="str">
        <x:v>No</x:v>
      </x:c>
      <x:c r="H262" s="83" t="str"/>
      <x:c r="I262" s="81" t="n">
        <x:v>1</x:v>
      </x:c>
      <x:c r="J262" s="52" t="str"/>
      <x:c r="K262" s="82" t="n">
        <x:v>4050</x:v>
      </x:c>
      <x:c r="L262" s="82" t="n">
        <x:v>0</x:v>
      </x:c>
      <x:c r="M262" s="82" t="n">
        <x:v>4050</x:v>
      </x:c>
      <x:c r="N262" s="80" t="n">
        <x:v>225</x:v>
      </x:c>
    </x:row>
    <x:row r="263">
      <x:c r="A263" s="80" t="n">
        <x:v>4</x:v>
      </x:c>
      <x:c r="B263" s="52" t="str"/>
      <x:c r="C263" s="83" t="str">
        <x:v>PAÑAL PAÑOS PET MEDIANO 2 KG</x:v>
      </x:c>
      <x:c r="D263" s="83" t="str">
        <x:v>Higiene y cuidado</x:v>
      </x:c>
      <x:c r="E263" s="83" t="str">
        <x:v>Absorbentes y limpieza</x:v>
      </x:c>
      <x:c r="F263" s="83" t="str">
        <x:v>Producto</x:v>
      </x:c>
      <x:c r="G263" s="83" t="str">
        <x:v>No</x:v>
      </x:c>
      <x:c r="H263" s="83" t="str"/>
      <x:c r="I263" s="81" t="n">
        <x:v>1</x:v>
      </x:c>
      <x:c r="J263" s="52" t="str"/>
      <x:c r="K263" s="82" t="n">
        <x:v>3645</x:v>
      </x:c>
      <x:c r="L263" s="82" t="n">
        <x:v>0</x:v>
      </x:c>
      <x:c r="M263" s="82" t="n">
        <x:v>3645</x:v>
      </x:c>
      <x:c r="N263" s="80" t="n">
        <x:v>226</x:v>
      </x:c>
    </x:row>
    <x:row r="264">
      <x:c r="A264" s="80" t="n">
        <x:v>4</x:v>
      </x:c>
      <x:c r="B264" s="52" t="str">
        <x:v>PPAMAX</x:v>
      </x:c>
      <x:c r="C264" s="83" t="str">
        <x:v>PAÑOPET ALFOMBRA SANITARIA MAX 60X90 X10U</x:v>
      </x:c>
      <x:c r="D264" s="83" t="str">
        <x:v>Higiene y cuidado</x:v>
      </x:c>
      <x:c r="E264" s="83" t="str">
        <x:v>Absorbentes y limpieza</x:v>
      </x:c>
      <x:c r="F264" s="83" t="str">
        <x:v>Producto</x:v>
      </x:c>
      <x:c r="G264" s="83" t="str">
        <x:v>No</x:v>
      </x:c>
      <x:c r="H264" s="83" t="str"/>
      <x:c r="I264" s="81" t="n">
        <x:v>2</x:v>
      </x:c>
      <x:c r="J264" s="52" t="str"/>
      <x:c r="K264" s="82" t="n">
        <x:v>0</x:v>
      </x:c>
      <x:c r="L264" s="82" t="n">
        <x:v>0</x:v>
      </x:c>
      <x:c r="M264" s="82" t="n">
        <x:v>0</x:v>
      </x:c>
      <x:c r="N264" s="80" t="n">
        <x:v>227</x:v>
      </x:c>
    </x:row>
    <x:row r="265">
      <x:c r="A265" s="80" t="n">
        <x:v>4</x:v>
      </x:c>
      <x:c r="B265" s="52" t="str">
        <x:v>PPAMIN</x:v>
      </x:c>
      <x:c r="C265" s="83" t="str">
        <x:v>PAÑOPET ALFOMBRA SANITARIA MINI 45X55 X10U</x:v>
      </x:c>
      <x:c r="D265" s="83" t="str">
        <x:v>Higiene y cuidado</x:v>
      </x:c>
      <x:c r="E265" s="83" t="str">
        <x:v>Absorbentes y limpieza</x:v>
      </x:c>
      <x:c r="F265" s="83" t="str">
        <x:v>Producto</x:v>
      </x:c>
      <x:c r="G265" s="83" t="str">
        <x:v>No</x:v>
      </x:c>
      <x:c r="H265" s="83" t="str"/>
      <x:c r="I265" s="81" t="n">
        <x:v>6</x:v>
      </x:c>
      <x:c r="J265" s="52" t="str"/>
      <x:c r="K265" s="82" t="n">
        <x:v>67275</x:v>
      </x:c>
      <x:c r="L265" s="82" t="n">
        <x:v>0</x:v>
      </x:c>
      <x:c r="M265" s="82" t="n">
        <x:v>67275</x:v>
      </x:c>
      <x:c r="N265" s="80" t="n">
        <x:v>228</x:v>
      </x:c>
    </x:row>
    <x:row r="266">
      <x:c r="A266" s="80" t="n">
        <x:v>4</x:v>
      </x:c>
      <x:c r="B266" s="52" t="str">
        <x:v>9501132017158</x:v>
      </x:c>
      <x:c r="C266" s="83" t="str">
        <x:v>PAÑOS PET WASH PET 6 UNIDADES</x:v>
      </x:c>
      <x:c r="D266" s="83" t="str">
        <x:v>Higiene y cuidado</x:v>
      </x:c>
      <x:c r="E266" s="83" t="str">
        <x:v>Absorbentes y limpieza</x:v>
      </x:c>
      <x:c r="F266" s="83" t="str">
        <x:v>Producto</x:v>
      </x:c>
      <x:c r="G266" s="83" t="str">
        <x:v>No</x:v>
      </x:c>
      <x:c r="H266" s="83" t="str"/>
      <x:c r="I266" s="81" t="n">
        <x:v>1</x:v>
      </x:c>
      <x:c r="J266" s="52" t="str"/>
      <x:c r="K266" s="82" t="n">
        <x:v>7000</x:v>
      </x:c>
      <x:c r="L266" s="82" t="n">
        <x:v>0</x:v>
      </x:c>
      <x:c r="M266" s="82" t="n">
        <x:v>7000</x:v>
      </x:c>
      <x:c r="N266" s="80" t="n">
        <x:v>229</x:v>
      </x:c>
    </x:row>
    <x:row r="267">
      <x:c r="A267" s="80" t="n">
        <x:v>4</x:v>
      </x:c>
      <x:c r="B267" s="52" t="str">
        <x:v>9501132017157</x:v>
      </x:c>
      <x:c r="C267" s="83" t="str">
        <x:v>PAÑOS TOALLAS HUMEDAS PH NEUTRO 30 UNIDADES</x:v>
      </x:c>
      <x:c r="D267" s="83" t="str">
        <x:v>Higiene y cuidado</x:v>
      </x:c>
      <x:c r="E267" s="83" t="str">
        <x:v>Absorbentes y limpieza</x:v>
      </x:c>
      <x:c r="F267" s="83" t="str">
        <x:v>Producto</x:v>
      </x:c>
      <x:c r="G267" s="83" t="str">
        <x:v>No</x:v>
      </x:c>
      <x:c r="H267" s="83" t="str"/>
      <x:c r="I267" s="81" t="n">
        <x:v>2</x:v>
      </x:c>
      <x:c r="J267" s="52" t="str"/>
      <x:c r="K267" s="82" t="n">
        <x:v>11600</x:v>
      </x:c>
      <x:c r="L267" s="82" t="n">
        <x:v>0</x:v>
      </x:c>
      <x:c r="M267" s="82" t="n">
        <x:v>11600</x:v>
      </x:c>
      <x:c r="N267" s="80" t="n">
        <x:v>230</x:v>
      </x:c>
    </x:row>
    <x:row r="268">
      <x:c r="A268" s="80" t="n">
        <x:v>4</x:v>
      </x:c>
      <x:c r="B268" s="52" t="str">
        <x:v>9501132017227</x:v>
      </x:c>
      <x:c r="C268" s="83" t="str">
        <x:v>BENTONITA DE GATO REAL 5 KG</x:v>
      </x:c>
      <x:c r="D268" s="83" t="str">
        <x:v>Higiene y cuidado</x:v>
      </x:c>
      <x:c r="E268" s="83" t="str">
        <x:v>Arena y sustrato sanitario</x:v>
      </x:c>
      <x:c r="F268" s="83" t="str">
        <x:v>Producto</x:v>
      </x:c>
      <x:c r="G268" s="83" t="str">
        <x:v>No</x:v>
      </x:c>
      <x:c r="H268" s="83" t="str"/>
      <x:c r="I268" s="81" t="n">
        <x:v>8</x:v>
      </x:c>
      <x:c r="J268" s="52" t="str"/>
      <x:c r="K268" s="82" t="n">
        <x:v>48980</x:v>
      </x:c>
      <x:c r="L268" s="82" t="n">
        <x:v>0</x:v>
      </x:c>
      <x:c r="M268" s="82" t="n">
        <x:v>48980</x:v>
      </x:c>
      <x:c r="N268" s="80" t="n">
        <x:v>37</x:v>
      </x:c>
    </x:row>
    <x:row r="269">
      <x:c r="A269" s="80" t="n">
        <x:v>4</x:v>
      </x:c>
      <x:c r="B269" s="52" t="str">
        <x:v>PSA014</x:v>
      </x:c>
      <x:c r="C269" s="83" t="str">
        <x:v>PIEDRA ABSORSOL BABY 6X 2 Kg</x:v>
      </x:c>
      <x:c r="D269" s="83" t="str">
        <x:v>Higiene y cuidado</x:v>
      </x:c>
      <x:c r="E269" s="83" t="str">
        <x:v>Arena y sustrato sanitario</x:v>
      </x:c>
      <x:c r="F269" s="83" t="str">
        <x:v>Producto</x:v>
      </x:c>
      <x:c r="G269" s="83" t="str">
        <x:v>No</x:v>
      </x:c>
      <x:c r="H269" s="83" t="str"/>
      <x:c r="I269" s="81" t="n">
        <x:v>2</x:v>
      </x:c>
      <x:c r="J269" s="52" t="str">
        <x:v>2 Kg</x:v>
      </x:c>
      <x:c r="K269" s="82" t="n">
        <x:v>7900</x:v>
      </x:c>
      <x:c r="L269" s="82" t="n">
        <x:v>0</x:v>
      </x:c>
      <x:c r="M269" s="82" t="n">
        <x:v>7900</x:v>
      </x:c>
      <x:c r="N269" s="80" t="n">
        <x:v>241</x:v>
      </x:c>
    </x:row>
    <x:row r="270">
      <x:c r="A270" s="80" t="n">
        <x:v>4</x:v>
      </x:c>
      <x:c r="B270" s="52" t="str">
        <x:v>PSA019</x:v>
      </x:c>
      <x:c r="C270" s="83" t="str">
        <x:v>PIEDRA ABSORSOL PERFUMADA LAVANDA 6X 3.6 Kg</x:v>
      </x:c>
      <x:c r="D270" s="83" t="str">
        <x:v>Higiene y cuidado</x:v>
      </x:c>
      <x:c r="E270" s="83" t="str">
        <x:v>Arena y sustrato sanitario</x:v>
      </x:c>
      <x:c r="F270" s="83" t="str">
        <x:v>Producto</x:v>
      </x:c>
      <x:c r="G270" s="83" t="str">
        <x:v>No</x:v>
      </x:c>
      <x:c r="H270" s="83" t="str"/>
      <x:c r="I270" s="81" t="n">
        <x:v>6</x:v>
      </x:c>
      <x:c r="J270" s="52" t="str">
        <x:v>3,6 Kg</x:v>
      </x:c>
      <x:c r="K270" s="82" t="n">
        <x:v>40740</x:v>
      </x:c>
      <x:c r="L270" s="82" t="n">
        <x:v>0</x:v>
      </x:c>
      <x:c r="M270" s="82" t="n">
        <x:v>40740</x:v>
      </x:c>
      <x:c r="N270" s="80" t="n">
        <x:v>242</x:v>
      </x:c>
    </x:row>
    <x:row r="271">
      <x:c r="A271" s="80" t="n">
        <x:v>4</x:v>
      </x:c>
      <x:c r="B271" s="52" t="str">
        <x:v>PSA020</x:v>
      </x:c>
      <x:c r="C271" s="83" t="str">
        <x:v>PIEDRA ABSORSOL PERFUMADA LIMON 6X 3.6 Kg</x:v>
      </x:c>
      <x:c r="D271" s="83" t="str">
        <x:v>Higiene y cuidado</x:v>
      </x:c>
      <x:c r="E271" s="83" t="str">
        <x:v>Arena y sustrato sanitario</x:v>
      </x:c>
      <x:c r="F271" s="83" t="str">
        <x:v>Producto</x:v>
      </x:c>
      <x:c r="G271" s="83" t="str">
        <x:v>No</x:v>
      </x:c>
      <x:c r="H271" s="83" t="str"/>
      <x:c r="I271" s="81" t="n">
        <x:v>5</x:v>
      </x:c>
      <x:c r="J271" s="52" t="str">
        <x:v>3,6 Kg</x:v>
      </x:c>
      <x:c r="K271" s="82" t="n">
        <x:v>35000</x:v>
      </x:c>
      <x:c r="L271" s="82" t="n">
        <x:v>0</x:v>
      </x:c>
      <x:c r="M271" s="82" t="n">
        <x:v>35000</x:v>
      </x:c>
      <x:c r="N271" s="80" t="n">
        <x:v>243</x:v>
      </x:c>
    </x:row>
    <x:row r="272">
      <x:c r="A272" s="80" t="n">
        <x:v>4</x:v>
      </x:c>
      <x:c r="B272" s="52" t="str">
        <x:v>PSA022</x:v>
      </x:c>
      <x:c r="C272" s="83" t="str">
        <x:v>PIEDRA ABSORSOL PERFUMADA VAINILLA 6X 3.6 Kg</x:v>
      </x:c>
      <x:c r="D272" s="83" t="str">
        <x:v>Higiene y cuidado</x:v>
      </x:c>
      <x:c r="E272" s="83" t="str">
        <x:v>Arena y sustrato sanitario</x:v>
      </x:c>
      <x:c r="F272" s="83" t="str">
        <x:v>Producto</x:v>
      </x:c>
      <x:c r="G272" s="83" t="str">
        <x:v>No</x:v>
      </x:c>
      <x:c r="H272" s="83" t="str"/>
      <x:c r="I272" s="81" t="n">
        <x:v>4</x:v>
      </x:c>
      <x:c r="J272" s="52" t="str">
        <x:v>3,6 Kg</x:v>
      </x:c>
      <x:c r="K272" s="82" t="n">
        <x:v>28000</x:v>
      </x:c>
      <x:c r="L272" s="82" t="n">
        <x:v>0</x:v>
      </x:c>
      <x:c r="M272" s="82" t="n">
        <x:v>28000</x:v>
      </x:c>
      <x:c r="N272" s="80" t="n">
        <x:v>244</x:v>
      </x:c>
    </x:row>
    <x:row r="273">
      <x:c r="A273" s="80" t="n">
        <x:v>4</x:v>
      </x:c>
      <x:c r="B273" s="52" t="str">
        <x:v>PSA017</x:v>
      </x:c>
      <x:c r="C273" s="83" t="str">
        <x:v>PIEDRA ABSORSOL PREMIUM 6X 2 Kg</x:v>
      </x:c>
      <x:c r="D273" s="83" t="str">
        <x:v>Higiene y cuidado</x:v>
      </x:c>
      <x:c r="E273" s="83" t="str">
        <x:v>Arena y sustrato sanitario</x:v>
      </x:c>
      <x:c r="F273" s="83" t="str">
        <x:v>Producto</x:v>
      </x:c>
      <x:c r="G273" s="83" t="str">
        <x:v>No</x:v>
      </x:c>
      <x:c r="H273" s="83" t="str"/>
      <x:c r="I273" s="81" t="n">
        <x:v>12</x:v>
      </x:c>
      <x:c r="J273" s="52" t="str">
        <x:v>2 Kg</x:v>
      </x:c>
      <x:c r="K273" s="82" t="n">
        <x:v>37280</x:v>
      </x:c>
      <x:c r="L273" s="82" t="n">
        <x:v>0</x:v>
      </x:c>
      <x:c r="M273" s="82" t="n">
        <x:v>37280</x:v>
      </x:c>
      <x:c r="N273" s="80" t="n">
        <x:v>245</x:v>
      </x:c>
    </x:row>
    <x:row r="274">
      <x:c r="A274" s="80" t="n">
        <x:v>4</x:v>
      </x:c>
      <x:c r="B274" s="52" t="str">
        <x:v>PSA018</x:v>
      </x:c>
      <x:c r="C274" s="83" t="str">
        <x:v>PIEDRA ABSORSOL PREMIUM 6X 3,6 Kg</x:v>
      </x:c>
      <x:c r="D274" s="83" t="str">
        <x:v>Higiene y cuidado</x:v>
      </x:c>
      <x:c r="E274" s="83" t="str">
        <x:v>Arena y sustrato sanitario</x:v>
      </x:c>
      <x:c r="F274" s="83" t="str">
        <x:v>Producto</x:v>
      </x:c>
      <x:c r="G274" s="83" t="str">
        <x:v>No</x:v>
      </x:c>
      <x:c r="H274" s="83" t="str"/>
      <x:c r="I274" s="81" t="n">
        <x:v>17</x:v>
      </x:c>
      <x:c r="J274" s="52" t="str">
        <x:v>3,6 Kg</x:v>
      </x:c>
      <x:c r="K274" s="82" t="n">
        <x:v>85935</x:v>
      </x:c>
      <x:c r="L274" s="82" t="n">
        <x:v>0</x:v>
      </x:c>
      <x:c r="M274" s="82" t="n">
        <x:v>85935</x:v>
      </x:c>
      <x:c r="N274" s="80" t="n">
        <x:v>246</x:v>
      </x:c>
    </x:row>
    <x:row r="275">
      <x:c r="A275" s="80" t="n">
        <x:v>4</x:v>
      </x:c>
      <x:c r="B275" s="52" t="str">
        <x:v>9501132017205</x:v>
      </x:c>
      <x:c r="C275" s="83" t="str">
        <x:v>PIEDRA GATO REAL 20 KG</x:v>
      </x:c>
      <x:c r="D275" s="83" t="str">
        <x:v>Higiene y cuidado</x:v>
      </x:c>
      <x:c r="E275" s="83" t="str">
        <x:v>Arena y sustrato sanitario</x:v>
      </x:c>
      <x:c r="F275" s="83" t="str">
        <x:v>Producto</x:v>
      </x:c>
      <x:c r="G275" s="83" t="str">
        <x:v>No</x:v>
      </x:c>
      <x:c r="H275" s="83" t="str"/>
      <x:c r="I275" s="81" t="n">
        <x:v>1</x:v>
      </x:c>
      <x:c r="J275" s="52" t="str"/>
      <x:c r="K275" s="82" t="n">
        <x:v>15000</x:v>
      </x:c>
      <x:c r="L275" s="82" t="n">
        <x:v>0</x:v>
      </x:c>
      <x:c r="M275" s="82" t="n">
        <x:v>15000</x:v>
      </x:c>
      <x:c r="N275" s="80" t="n">
        <x:v>247</x:v>
      </x:c>
    </x:row>
    <x:row r="276">
      <x:c r="A276" s="80" t="n">
        <x:v>4</x:v>
      </x:c>
      <x:c r="B276" s="52" t="str">
        <x:v>12570900</x:v>
      </x:c>
      <x:c r="C276" s="83" t="str">
        <x:v>PIEDRA GATO REAL 2KG</x:v>
      </x:c>
      <x:c r="D276" s="83" t="str">
        <x:v>Higiene y cuidado</x:v>
      </x:c>
      <x:c r="E276" s="83" t="str">
        <x:v>Arena y sustrato sanitario</x:v>
      </x:c>
      <x:c r="F276" s="83" t="str">
        <x:v>Producto</x:v>
      </x:c>
      <x:c r="G276" s="83" t="str">
        <x:v>No</x:v>
      </x:c>
      <x:c r="H276" s="83" t="str"/>
      <x:c r="I276" s="81" t="n">
        <x:v>1</x:v>
      </x:c>
      <x:c r="J276" s="52" t="str"/>
      <x:c r="K276" s="82" t="n">
        <x:v>2500</x:v>
      </x:c>
      <x:c r="L276" s="82" t="n">
        <x:v>0</x:v>
      </x:c>
      <x:c r="M276" s="82" t="n">
        <x:v>2500</x:v>
      </x:c>
      <x:c r="N276" s="80" t="n">
        <x:v>248</x:v>
      </x:c>
    </x:row>
    <x:row r="277">
      <x:c r="A277" s="80" t="n">
        <x:v>4</x:v>
      </x:c>
      <x:c r="B277" s="52" t="str"/>
      <x:c r="C277" s="83" t="str">
        <x:v>PIEDRA SANITARIA GATTOS CLASICA 4 KG</x:v>
      </x:c>
      <x:c r="D277" s="83" t="str">
        <x:v>Higiene y cuidado</x:v>
      </x:c>
      <x:c r="E277" s="83" t="str">
        <x:v>Arena y sustrato sanitario</x:v>
      </x:c>
      <x:c r="F277" s="83" t="str">
        <x:v>Producto</x:v>
      </x:c>
      <x:c r="G277" s="83" t="str">
        <x:v>No</x:v>
      </x:c>
      <x:c r="H277" s="83" t="str"/>
      <x:c r="I277" s="81" t="n">
        <x:v>1</x:v>
      </x:c>
      <x:c r="J277" s="52" t="str">
        <x:v>4 KG</x:v>
      </x:c>
      <x:c r="K277" s="82" t="n">
        <x:v>7200</x:v>
      </x:c>
      <x:c r="L277" s="82" t="n">
        <x:v>0</x:v>
      </x:c>
      <x:c r="M277" s="82" t="n">
        <x:v>7200</x:v>
      </x:c>
      <x:c r="N277" s="80" t="n">
        <x:v>249</x:v>
      </x:c>
    </x:row>
    <x:row r="278">
      <x:c r="A278" s="80" t="n">
        <x:v>4</x:v>
      </x:c>
      <x:c r="B278" s="52" t="str"/>
      <x:c r="C278" s="83" t="str">
        <x:v>PIEDRA SANITARIA GATTOS QUALITY 4 KG</x:v>
      </x:c>
      <x:c r="D278" s="83" t="str">
        <x:v>Higiene y cuidado</x:v>
      </x:c>
      <x:c r="E278" s="83" t="str">
        <x:v>Arena y sustrato sanitario</x:v>
      </x:c>
      <x:c r="F278" s="83" t="str">
        <x:v>Producto</x:v>
      </x:c>
      <x:c r="G278" s="83" t="str">
        <x:v>No</x:v>
      </x:c>
      <x:c r="H278" s="83" t="str"/>
      <x:c r="I278" s="81" t="n">
        <x:v>1</x:v>
      </x:c>
      <x:c r="J278" s="52" t="str">
        <x:v>4 KG</x:v>
      </x:c>
      <x:c r="K278" s="82" t="n">
        <x:v>9000</x:v>
      </x:c>
      <x:c r="L278" s="82" t="n">
        <x:v>0</x:v>
      </x:c>
      <x:c r="M278" s="82" t="n">
        <x:v>9000</x:v>
      </x:c>
      <x:c r="N278" s="80" t="n">
        <x:v>250</x:v>
      </x:c>
    </x:row>
    <x:row r="279">
      <x:c r="A279" s="80" t="n">
        <x:v>4</x:v>
      </x:c>
      <x:c r="B279" s="52" t="str"/>
      <x:c r="C279" s="83" t="str">
        <x:v>POOPY PETS X 15 KG</x:v>
      </x:c>
      <x:c r="D279" s="83" t="str">
        <x:v>Higiene y cuidado</x:v>
      </x:c>
      <x:c r="E279" s="83" t="str">
        <x:v>Arena y sustrato sanitario</x:v>
      </x:c>
      <x:c r="F279" s="83" t="str">
        <x:v>Producto</x:v>
      </x:c>
      <x:c r="G279" s="83" t="str">
        <x:v>No</x:v>
      </x:c>
      <x:c r="H279" s="83" t="str"/>
      <x:c r="I279" s="81" t="n">
        <x:v>1</x:v>
      </x:c>
      <x:c r="J279" s="52" t="str">
        <x:v>15 Kg</x:v>
      </x:c>
      <x:c r="K279" s="82" t="n">
        <x:v>15675</x:v>
      </x:c>
      <x:c r="L279" s="82" t="n">
        <x:v>0</x:v>
      </x:c>
      <x:c r="M279" s="82" t="n">
        <x:v>15675</x:v>
      </x:c>
      <x:c r="N279" s="80" t="n">
        <x:v>257</x:v>
      </x:c>
    </x:row>
    <x:row r="280">
      <x:c r="A280" s="80" t="n">
        <x:v>4</x:v>
      </x:c>
      <x:c r="B280" s="52" t="str">
        <x:v>PSR03</x:v>
      </x:c>
      <x:c r="C280" s="83" t="str">
        <x:v>RUBICAT CLASSIC LAVANDA X 5,3KG</x:v>
      </x:c>
      <x:c r="D280" s="83" t="str">
        <x:v>Higiene y cuidado</x:v>
      </x:c>
      <x:c r="E280" s="83" t="str">
        <x:v>Arena y sustrato sanitario</x:v>
      </x:c>
      <x:c r="F280" s="83" t="str">
        <x:v>Producto</x:v>
      </x:c>
      <x:c r="G280" s="83" t="str">
        <x:v>No</x:v>
      </x:c>
      <x:c r="H280" s="83" t="str"/>
      <x:c r="I280" s="81" t="n">
        <x:v>1</x:v>
      </x:c>
      <x:c r="J280" s="52" t="str">
        <x:v>5,3 Kg</x:v>
      </x:c>
      <x:c r="K280" s="82" t="n">
        <x:v>9900</x:v>
      </x:c>
      <x:c r="L280" s="82" t="n">
        <x:v>0</x:v>
      </x:c>
      <x:c r="M280" s="82" t="n">
        <x:v>9900</x:v>
      </x:c>
      <x:c r="N280" s="80" t="n">
        <x:v>285</x:v>
      </x:c>
    </x:row>
    <x:row r="281">
      <x:c r="A281" s="80" t="n">
        <x:v>4</x:v>
      </x:c>
      <x:c r="B281" s="52" t="str">
        <x:v>PSR02</x:v>
      </x:c>
      <x:c r="C281" s="83" t="str">
        <x:v>RUBICAT CLASSIC X 5,3KG</x:v>
      </x:c>
      <x:c r="D281" s="83" t="str">
        <x:v>Higiene y cuidado</x:v>
      </x:c>
      <x:c r="E281" s="83" t="str">
        <x:v>Arena y sustrato sanitario</x:v>
      </x:c>
      <x:c r="F281" s="83" t="str">
        <x:v>Producto</x:v>
      </x:c>
      <x:c r="G281" s="83" t="str">
        <x:v>No</x:v>
      </x:c>
      <x:c r="H281" s="83" t="str"/>
      <x:c r="I281" s="81" t="n">
        <x:v>1</x:v>
      </x:c>
      <x:c r="J281" s="52" t="str">
        <x:v>5,3 Kg</x:v>
      </x:c>
      <x:c r="K281" s="82" t="n">
        <x:v>10900</x:v>
      </x:c>
      <x:c r="L281" s="82" t="n">
        <x:v>0</x:v>
      </x:c>
      <x:c r="M281" s="82" t="n">
        <x:v>10900</x:v>
      </x:c>
      <x:c r="N281" s="80" t="n">
        <x:v>286</x:v>
      </x:c>
    </x:row>
    <x:row r="282">
      <x:c r="A282" s="80" t="n">
        <x:v>4</x:v>
      </x:c>
      <x:c r="B282" s="52" t="str">
        <x:v>9501132017228</x:v>
      </x:c>
      <x:c r="C282" s="83" t="str">
        <x:v>SILICA CAT WAY LAVANDA 1.8 KG</x:v>
      </x:c>
      <x:c r="D282" s="83" t="str">
        <x:v>Higiene y cuidado</x:v>
      </x:c>
      <x:c r="E282" s="83" t="str">
        <x:v>Arena y sustrato sanitario</x:v>
      </x:c>
      <x:c r="F282" s="83" t="str">
        <x:v>Producto</x:v>
      </x:c>
      <x:c r="G282" s="83" t="str">
        <x:v>No</x:v>
      </x:c>
      <x:c r="H282" s="83" t="str"/>
      <x:c r="I282" s="81" t="n">
        <x:v>1</x:v>
      </x:c>
      <x:c r="J282" s="52" t="str"/>
      <x:c r="K282" s="82" t="n">
        <x:v>16000</x:v>
      </x:c>
      <x:c r="L282" s="82" t="n">
        <x:v>0</x:v>
      </x:c>
      <x:c r="M282" s="82" t="n">
        <x:v>16000</x:v>
      </x:c>
      <x:c r="N282" s="80" t="n">
        <x:v>6</x:v>
      </x:c>
    </x:row>
    <x:row r="283">
      <x:c r="A283" s="80" t="n">
        <x:v>4</x:v>
      </x:c>
      <x:c r="B283" s="52" t="str"/>
      <x:c r="C283" s="83" t="str">
        <x:v>BIO CLIN 250 ML</x:v>
      </x:c>
      <x:c r="D283" s="83" t="str">
        <x:v>Higiene y cuidado</x:v>
      </x:c>
      <x:c r="E283" s="83" t="str">
        <x:v>Baño y cuidado de piel/pelo</x:v>
      </x:c>
      <x:c r="F283" s="83" t="str">
        <x:v>Producto</x:v>
      </x:c>
      <x:c r="G283" s="83" t="str">
        <x:v>Sí</x:v>
      </x:c>
      <x:c r="H283" s="83" t="str">
        <x:v>El nombre comercial no describe el uso; se infirió cuidado e higiene por la presentación.</x:v>
      </x:c>
      <x:c r="I283" s="81" t="n">
        <x:v>1</x:v>
      </x:c>
      <x:c r="J283" s="52" t="str">
        <x:v>250 gr</x:v>
      </x:c>
      <x:c r="K283" s="82" t="n">
        <x:v>9855</x:v>
      </x:c>
      <x:c r="L283" s="82" t="n">
        <x:v>0</x:v>
      </x:c>
      <x:c r="M283" s="82" t="n">
        <x:v>9855</x:v>
      </x:c>
      <x:c r="N283" s="80" t="n">
        <x:v>38</x:v>
      </x:c>
    </x:row>
    <x:row r="284">
      <x:c r="A284" s="80" t="n">
        <x:v>4</x:v>
      </x:c>
      <x:c r="B284" s="52" t="str">
        <x:v>9501132017199</x:v>
      </x:c>
      <x:c r="C284" s="83" t="str">
        <x:v>CREMA DE ORDEÑE NORT C/ALOE X 250 GR</x:v>
      </x:c>
      <x:c r="D284" s="83" t="str">
        <x:v>Higiene y cuidado</x:v>
      </x:c>
      <x:c r="E284" s="83" t="str">
        <x:v>Baño y cuidado de piel/pelo</x:v>
      </x:c>
      <x:c r="F284" s="83" t="str">
        <x:v>Producto</x:v>
      </x:c>
      <x:c r="G284" s="83" t="str">
        <x:v>No</x:v>
      </x:c>
      <x:c r="H284" s="83" t="str"/>
      <x:c r="I284" s="81" t="n">
        <x:v>1</x:v>
      </x:c>
      <x:c r="J284" s="52" t="str"/>
      <x:c r="K284" s="82" t="n">
        <x:v>12300</x:v>
      </x:c>
      <x:c r="L284" s="82" t="n">
        <x:v>0</x:v>
      </x:c>
      <x:c r="M284" s="82" t="n">
        <x:v>12300</x:v>
      </x:c>
      <x:c r="N284" s="80" t="n">
        <x:v>74</x:v>
      </x:c>
    </x:row>
    <x:row r="285">
      <x:c r="A285" s="80" t="n">
        <x:v>4</x:v>
      </x:c>
      <x:c r="B285" s="52" t="str"/>
      <x:c r="C285" s="83" t="str">
        <x:v>DERMAPET FRAGANCE PUPPIES X 125 ML</x:v>
      </x:c>
      <x:c r="D285" s="83" t="str">
        <x:v>Higiene y cuidado</x:v>
      </x:c>
      <x:c r="E285" s="83" t="str">
        <x:v>Baño y cuidado de piel/pelo</x:v>
      </x:c>
      <x:c r="F285" s="83" t="str">
        <x:v>Producto</x:v>
      </x:c>
      <x:c r="G285" s="83" t="str">
        <x:v>No</x:v>
      </x:c>
      <x:c r="H285" s="83" t="str"/>
      <x:c r="I285" s="81" t="n">
        <x:v>1</x:v>
      </x:c>
      <x:c r="J285" s="52" t="str">
        <x:v>125 ml</x:v>
      </x:c>
      <x:c r="K285" s="82" t="n">
        <x:v>17100</x:v>
      </x:c>
      <x:c r="L285" s="82" t="n">
        <x:v>0</x:v>
      </x:c>
      <x:c r="M285" s="82" t="n">
        <x:v>17100</x:v>
      </x:c>
      <x:c r="N285" s="80" t="n">
        <x:v>77</x:v>
      </x:c>
    </x:row>
    <x:row r="286">
      <x:c r="A286" s="80" t="n">
        <x:v>4</x:v>
      </x:c>
      <x:c r="B286" s="52" t="str">
        <x:v>50010215</x:v>
      </x:c>
      <x:c r="C286" s="83" t="str">
        <x:v>DERMASTUDIO ECTOCARE NATURAL X 250 ML</x:v>
      </x:c>
      <x:c r="D286" s="83" t="str">
        <x:v>Higiene y cuidado</x:v>
      </x:c>
      <x:c r="E286" s="83" t="str">
        <x:v>Baño y cuidado de piel/pelo</x:v>
      </x:c>
      <x:c r="F286" s="83" t="str">
        <x:v>Producto</x:v>
      </x:c>
      <x:c r="G286" s="83" t="str">
        <x:v>No</x:v>
      </x:c>
      <x:c r="H286" s="83" t="str"/>
      <x:c r="I286" s="81" t="n">
        <x:v>1</x:v>
      </x:c>
      <x:c r="J286" s="52" t="str"/>
      <x:c r="K286" s="82" t="n">
        <x:v>15200</x:v>
      </x:c>
      <x:c r="L286" s="82" t="n">
        <x:v>0</x:v>
      </x:c>
      <x:c r="M286" s="82" t="n">
        <x:v>15200</x:v>
      </x:c>
      <x:c r="N286" s="80" t="n">
        <x:v>78</x:v>
      </x:c>
    </x:row>
    <x:row r="287">
      <x:c r="A287" s="80" t="n">
        <x:v>4</x:v>
      </x:c>
      <x:c r="B287" s="52" t="str">
        <x:v>9501132017202</x:v>
      </x:c>
      <x:c r="C287" s="83" t="str">
        <x:v>DERMOSEDAN DIG DE CLORHEX 4% SOL X 200ML</x:v>
      </x:c>
      <x:c r="D287" s="83" t="str">
        <x:v>Higiene y cuidado</x:v>
      </x:c>
      <x:c r="E287" s="83" t="str">
        <x:v>Baño y cuidado de piel/pelo</x:v>
      </x:c>
      <x:c r="F287" s="83" t="str">
        <x:v>Producto</x:v>
      </x:c>
      <x:c r="G287" s="83" t="str">
        <x:v>No</x:v>
      </x:c>
      <x:c r="H287" s="83" t="str"/>
      <x:c r="I287" s="81" t="n">
        <x:v>1</x:v>
      </x:c>
      <x:c r="J287" s="52" t="str"/>
      <x:c r="K287" s="82" t="n">
        <x:v>15500</x:v>
      </x:c>
      <x:c r="L287" s="82" t="n">
        <x:v>0</x:v>
      </x:c>
      <x:c r="M287" s="82" t="n">
        <x:v>15500</x:v>
      </x:c>
      <x:c r="N287" s="80" t="n">
        <x:v>79</x:v>
      </x:c>
    </x:row>
    <x:row r="288">
      <x:c r="A288" s="80" t="n">
        <x:v>4</x:v>
      </x:c>
      <x:c r="B288" s="52" t="str"/>
      <x:c r="C288" s="83" t="str">
        <x:v>DERMOSEDAN SH. ALOE+AVENA X 200 GR.</x:v>
      </x:c>
      <x:c r="D288" s="83" t="str">
        <x:v>Higiene y cuidado</x:v>
      </x:c>
      <x:c r="E288" s="83" t="str">
        <x:v>Baño y cuidado de piel/pelo</x:v>
      </x:c>
      <x:c r="F288" s="83" t="str">
        <x:v>Producto</x:v>
      </x:c>
      <x:c r="G288" s="83" t="str">
        <x:v>No</x:v>
      </x:c>
      <x:c r="H288" s="83" t="str"/>
      <x:c r="I288" s="81" t="n">
        <x:v>1</x:v>
      </x:c>
      <x:c r="J288" s="52" t="str">
        <x:v>200 gr</x:v>
      </x:c>
      <x:c r="K288" s="82" t="n">
        <x:v>12160</x:v>
      </x:c>
      <x:c r="L288" s="82" t="n">
        <x:v>0</x:v>
      </x:c>
      <x:c r="M288" s="82" t="n">
        <x:v>12160</x:v>
      </x:c>
      <x:c r="N288" s="80" t="n">
        <x:v>80</x:v>
      </x:c>
    </x:row>
    <x:row r="289">
      <x:c r="A289" s="80" t="n">
        <x:v>4</x:v>
      </x:c>
      <x:c r="B289" s="52" t="str"/>
      <x:c r="C289" s="83" t="str">
        <x:v>FORMULA MC DONALD GEL SHAMPOO X 200 ML</x:v>
      </x:c>
      <x:c r="D289" s="83" t="str">
        <x:v>Higiene y cuidado</x:v>
      </x:c>
      <x:c r="E289" s="83" t="str">
        <x:v>Baño y cuidado de piel/pelo</x:v>
      </x:c>
      <x:c r="F289" s="83" t="str">
        <x:v>Producto</x:v>
      </x:c>
      <x:c r="G289" s="83" t="str">
        <x:v>No</x:v>
      </x:c>
      <x:c r="H289" s="83" t="str"/>
      <x:c r="I289" s="81" t="n">
        <x:v>1</x:v>
      </x:c>
      <x:c r="J289" s="52" t="str">
        <x:v>200 ml</x:v>
      </x:c>
      <x:c r="K289" s="82" t="n">
        <x:v>25155</x:v>
      </x:c>
      <x:c r="L289" s="82" t="n">
        <x:v>0</x:v>
      </x:c>
      <x:c r="M289" s="82" t="n">
        <x:v>25155</x:v>
      </x:c>
      <x:c r="N289" s="80" t="n">
        <x:v>129</x:v>
      </x:c>
    </x:row>
    <x:row r="290">
      <x:c r="A290" s="80" t="n">
        <x:v>4</x:v>
      </x:c>
      <x:c r="B290" s="52" t="str">
        <x:v>12570836</x:v>
      </x:c>
      <x:c r="C290" s="83" t="str">
        <x:v>FRAGANCIA MASKOTA FREE NATUR 50ML</x:v>
      </x:c>
      <x:c r="D290" s="83" t="str">
        <x:v>Higiene y cuidado</x:v>
      </x:c>
      <x:c r="E290" s="83" t="str">
        <x:v>Baño y cuidado de piel/pelo</x:v>
      </x:c>
      <x:c r="F290" s="83" t="str">
        <x:v>Producto</x:v>
      </x:c>
      <x:c r="G290" s="83" t="str">
        <x:v>No</x:v>
      </x:c>
      <x:c r="H290" s="83" t="str"/>
      <x:c r="I290" s="81" t="n">
        <x:v>1</x:v>
      </x:c>
      <x:c r="J290" s="52" t="str"/>
      <x:c r="K290" s="82" t="n">
        <x:v>6100</x:v>
      </x:c>
      <x:c r="L290" s="82" t="n">
        <x:v>0</x:v>
      </x:c>
      <x:c r="M290" s="82" t="n">
        <x:v>6100</x:v>
      </x:c>
      <x:c r="N290" s="80" t="n">
        <x:v>130</x:v>
      </x:c>
    </x:row>
    <x:row r="291">
      <x:c r="A291" s="80" t="n">
        <x:v>4</x:v>
      </x:c>
      <x:c r="B291" s="52" t="str">
        <x:v>3019</x:v>
      </x:c>
      <x:c r="C291" s="83" t="str">
        <x:v>OSS PRO COLOR 250 ML</x:v>
      </x:c>
      <x:c r="D291" s="83" t="str">
        <x:v>Higiene y cuidado</x:v>
      </x:c>
      <x:c r="E291" s="83" t="str">
        <x:v>Baño y cuidado de piel/pelo</x:v>
      </x:c>
      <x:c r="F291" s="83" t="str">
        <x:v>Producto</x:v>
      </x:c>
      <x:c r="G291" s="83" t="str">
        <x:v>No</x:v>
      </x:c>
      <x:c r="H291" s="83" t="str"/>
      <x:c r="I291" s="81" t="n">
        <x:v>1</x:v>
      </x:c>
      <x:c r="J291" s="52" t="str"/>
      <x:c r="K291" s="82" t="n">
        <x:v>19800</x:v>
      </x:c>
      <x:c r="L291" s="82" t="n">
        <x:v>0</x:v>
      </x:c>
      <x:c r="M291" s="82" t="n">
        <x:v>19800</x:v>
      </x:c>
      <x:c r="N291" s="80" t="n">
        <x:v>218</x:v>
      </x:c>
    </x:row>
    <x:row r="292">
      <x:c r="A292" s="80" t="n">
        <x:v>4</x:v>
      </x:c>
      <x:c r="B292" s="52" t="str">
        <x:v>9501132017170</x:v>
      </x:c>
      <x:c r="C292" s="83" t="str">
        <x:v>OSS. SH. MEDICADO X 250 ML</x:v>
      </x:c>
      <x:c r="D292" s="83" t="str">
        <x:v>Higiene y cuidado</x:v>
      </x:c>
      <x:c r="E292" s="83" t="str">
        <x:v>Baño y cuidado de piel/pelo</x:v>
      </x:c>
      <x:c r="F292" s="83" t="str">
        <x:v>Producto</x:v>
      </x:c>
      <x:c r="G292" s="83" t="str">
        <x:v>No</x:v>
      </x:c>
      <x:c r="H292" s="83" t="str"/>
      <x:c r="I292" s="81" t="n">
        <x:v>2</x:v>
      </x:c>
      <x:c r="J292" s="52" t="str"/>
      <x:c r="K292" s="82" t="n">
        <x:v>19008</x:v>
      </x:c>
      <x:c r="L292" s="82" t="n">
        <x:v>0</x:v>
      </x:c>
      <x:c r="M292" s="82" t="n">
        <x:v>19008</x:v>
      </x:c>
      <x:c r="N292" s="80" t="n">
        <x:v>219</x:v>
      </x:c>
    </x:row>
    <x:row r="293">
      <x:c r="A293" s="80" t="n">
        <x:v>4</x:v>
      </x:c>
      <x:c r="B293" s="52" t="str"/>
      <x:c r="C293" s="83" t="str">
        <x:v>OSS. SH. PULGUICIDA Y GARRAP. X 250 ML</x:v>
      </x:c>
      <x:c r="D293" s="83" t="str">
        <x:v>Higiene y cuidado</x:v>
      </x:c>
      <x:c r="E293" s="83" t="str">
        <x:v>Baño y cuidado de piel/pelo</x:v>
      </x:c>
      <x:c r="F293" s="83" t="str">
        <x:v>Producto</x:v>
      </x:c>
      <x:c r="G293" s="83" t="str">
        <x:v>No</x:v>
      </x:c>
      <x:c r="H293" s="83" t="str"/>
      <x:c r="I293" s="81" t="n">
        <x:v>2</x:v>
      </x:c>
      <x:c r="J293" s="52" t="str">
        <x:v>250 ML</x:v>
      </x:c>
      <x:c r="K293" s="82" t="n">
        <x:v>20800</x:v>
      </x:c>
      <x:c r="L293" s="82" t="n">
        <x:v>0</x:v>
      </x:c>
      <x:c r="M293" s="82" t="n">
        <x:v>20800</x:v>
      </x:c>
      <x:c r="N293" s="80" t="n">
        <x:v>220</x:v>
      </x:c>
    </x:row>
    <x:row r="294">
      <x:c r="A294" s="80" t="n">
        <x:v>4</x:v>
      </x:c>
      <x:c r="B294" s="52" t="str"/>
      <x:c r="C294" s="83" t="str">
        <x:v>OSSPRET GROOMERS SH. BELLEZA EXPERT X250 ML</x:v>
      </x:c>
      <x:c r="D294" s="83" t="str">
        <x:v>Higiene y cuidado</x:v>
      </x:c>
      <x:c r="E294" s="83" t="str">
        <x:v>Baño y cuidado de piel/pelo</x:v>
      </x:c>
      <x:c r="F294" s="83" t="str">
        <x:v>Producto</x:v>
      </x:c>
      <x:c r="G294" s="83" t="str">
        <x:v>No</x:v>
      </x:c>
      <x:c r="H294" s="83" t="str"/>
      <x:c r="I294" s="81" t="n">
        <x:v>1</x:v>
      </x:c>
      <x:c r="J294" s="52" t="str">
        <x:v>250 ML</x:v>
      </x:c>
      <x:c r="K294" s="82" t="n">
        <x:v>9360</x:v>
      </x:c>
      <x:c r="L294" s="82" t="n">
        <x:v>0</x:v>
      </x:c>
      <x:c r="M294" s="82" t="n">
        <x:v>9360</x:v>
      </x:c>
      <x:c r="N294" s="80" t="n">
        <x:v>221</x:v>
      </x:c>
    </x:row>
    <x:row r="295">
      <x:c r="A295" s="80" t="n">
        <x:v>4</x:v>
      </x:c>
      <x:c r="B295" s="52" t="str"/>
      <x:c r="C295" s="83" t="str">
        <x:v>OSSPRET SHAMPU DOUBLE X 250 ML</x:v>
      </x:c>
      <x:c r="D295" s="83" t="str">
        <x:v>Higiene y cuidado</x:v>
      </x:c>
      <x:c r="E295" s="83" t="str">
        <x:v>Baño y cuidado de piel/pelo</x:v>
      </x:c>
      <x:c r="F295" s="83" t="str">
        <x:v>Producto</x:v>
      </x:c>
      <x:c r="G295" s="83" t="str">
        <x:v>No</x:v>
      </x:c>
      <x:c r="H295" s="83" t="str"/>
      <x:c r="I295" s="81" t="n">
        <x:v>1</x:v>
      </x:c>
      <x:c r="J295" s="52" t="str">
        <x:v>250 ML</x:v>
      </x:c>
      <x:c r="K295" s="82" t="n">
        <x:v>9360</x:v>
      </x:c>
      <x:c r="L295" s="82" t="n">
        <x:v>0</x:v>
      </x:c>
      <x:c r="M295" s="82" t="n">
        <x:v>9360</x:v>
      </x:c>
      <x:c r="N295" s="80" t="n">
        <x:v>222</x:v>
      </x:c>
    </x:row>
    <x:row r="296">
      <x:c r="A296" s="80" t="n">
        <x:v>4</x:v>
      </x:c>
      <x:c r="B296" s="52" t="str"/>
      <x:c r="C296" s="83" t="str">
        <x:v>CLORHEX BIO CLIN GEL ANTIPLACA X 20 M</x:v>
      </x:c>
      <x:c r="D296" s="83" t="str">
        <x:v>Higiene y cuidado</x:v>
      </x:c>
      <x:c r="E296" s="83" t="str">
        <x:v>Cuidado dental</x:v>
      </x:c>
      <x:c r="F296" s="83" t="str">
        <x:v>Producto</x:v>
      </x:c>
      <x:c r="G296" s="83" t="str">
        <x:v>No</x:v>
      </x:c>
      <x:c r="H296" s="83" t="str"/>
      <x:c r="I296" s="81" t="n">
        <x:v>2</x:v>
      </x:c>
      <x:c r="J296" s="52" t="str">
        <x:v>Cja</x:v>
      </x:c>
      <x:c r="K296" s="82" t="n">
        <x:v>36800</x:v>
      </x:c>
      <x:c r="L296" s="82" t="n">
        <x:v>0</x:v>
      </x:c>
      <x:c r="M296" s="82" t="n">
        <x:v>36800</x:v>
      </x:c>
      <x:c r="N296" s="80" t="n">
        <x:v>53</x:v>
      </x:c>
    </x:row>
    <x:row r="297">
      <x:c r="A297" s="80" t="n">
        <x:v>4</x:v>
      </x:c>
      <x:c r="B297" s="52" t="str">
        <x:v>SD180</x:v>
      </x:c>
      <x:c r="C297" s="83" t="str">
        <x:v>SET DE CEPILLO DE DIENTES</x:v>
      </x:c>
      <x:c r="D297" s="83" t="str">
        <x:v>Higiene y cuidado</x:v>
      </x:c>
      <x:c r="E297" s="83" t="str">
        <x:v>Cuidado dental</x:v>
      </x:c>
      <x:c r="F297" s="83" t="str">
        <x:v>Producto</x:v>
      </x:c>
      <x:c r="G297" s="83" t="str">
        <x:v>No</x:v>
      </x:c>
      <x:c r="H297" s="83" t="str"/>
      <x:c r="I297" s="81" t="n">
        <x:v>1</x:v>
      </x:c>
      <x:c r="J297" s="52" t="str">
        <x:v>und</x:v>
      </x:c>
      <x:c r="K297" s="82" t="n">
        <x:v>9550</x:v>
      </x:c>
      <x:c r="L297" s="82" t="n">
        <x:v>0</x:v>
      </x:c>
      <x:c r="M297" s="82" t="n">
        <x:v>9550</x:v>
      </x:c>
      <x:c r="N297" s="80" t="n">
        <x:v>291</x:v>
      </x:c>
    </x:row>
    <x:row r="298">
      <x:c r="A298" s="80" t="n">
        <x:v>4</x:v>
      </x:c>
      <x:c r="B298" s="52" t="str">
        <x:v>SD142</x:v>
      </x:c>
      <x:c r="C298" s="83" t="str">
        <x:v>RODILLO SACAPELUSAS X 6 U CAJA EXHIBIDORA</x:v>
      </x:c>
      <x:c r="D298" s="83" t="str">
        <x:v>Higiene y cuidado</x:v>
      </x:c>
      <x:c r="E298" s="83" t="str">
        <x:v>Limpieza y cuidado cotidiano</x:v>
      </x:c>
      <x:c r="F298" s="83" t="str">
        <x:v>Producto</x:v>
      </x:c>
      <x:c r="G298" s="83" t="str">
        <x:v>No</x:v>
      </x:c>
      <x:c r="H298" s="83" t="str"/>
      <x:c r="I298" s="81" t="n">
        <x:v>1</x:v>
      </x:c>
      <x:c r="J298" s="52" t="str">
        <x:v>und</x:v>
      </x:c>
      <x:c r="K298" s="82" t="n">
        <x:v>5600</x:v>
      </x:c>
      <x:c r="L298" s="82" t="n">
        <x:v>0</x:v>
      </x:c>
      <x:c r="M298" s="82" t="n">
        <x:v>5600</x:v>
      </x:c>
      <x:c r="N298" s="80" t="n">
        <x:v>281</x:v>
      </x:c>
    </x:row>
    <x:row r="299">
      <x:c r="A299" s="80" t="n">
        <x:v>4</x:v>
      </x:c>
      <x:c r="B299" s="52" t="str"/>
      <x:c r="C299" s="83" t="str">
        <x:v>VASO LIMPIA PATA 15X10CM DM-018</x:v>
      </x:c>
      <x:c r="D299" s="83" t="str">
        <x:v>Higiene y cuidado</x:v>
      </x:c>
      <x:c r="E299" s="83" t="str">
        <x:v>Limpieza y cuidado cotidiano</x:v>
      </x:c>
      <x:c r="F299" s="83" t="str">
        <x:v>Producto</x:v>
      </x:c>
      <x:c r="G299" s="83" t="str">
        <x:v>No</x:v>
      </x:c>
      <x:c r="H299" s="83" t="str"/>
      <x:c r="I299" s="81" t="n">
        <x:v>1</x:v>
      </x:c>
      <x:c r="J299" s="52" t="str">
        <x:v>und</x:v>
      </x:c>
      <x:c r="K299" s="82" t="n">
        <x:v>7350</x:v>
      </x:c>
      <x:c r="L299" s="82" t="n">
        <x:v>0</x:v>
      </x:c>
      <x:c r="M299" s="82" t="n">
        <x:v>7350</x:v>
      </x:c>
      <x:c r="N299" s="80" t="n">
        <x:v>324</x:v>
      </x:c>
    </x:row>
    <x:row r="300">
      <x:c r="A300" s="80" t="n">
        <x:v>5</x:v>
      </x:c>
      <x:c r="B300" s="52" t="str"/>
      <x:c r="C300" s="83" t="str">
        <x:v>Consulta Veterinaria</x:v>
      </x:c>
      <x:c r="D300" s="83" t="str">
        <x:v>Consulta veterinaria</x:v>
      </x:c>
      <x:c r="E300" s="83" t="str">
        <x:v>Consulta y control</x:v>
      </x:c>
      <x:c r="F300" s="83" t="str">
        <x:v>Servicio</x:v>
      </x:c>
      <x:c r="G300" s="83" t="str">
        <x:v>No</x:v>
      </x:c>
      <x:c r="H300" s="83" t="str"/>
      <x:c r="I300" s="81" t="n">
        <x:v>15</x:v>
      </x:c>
      <x:c r="J300" s="52" t="str">
        <x:v>und</x:v>
      </x:c>
      <x:c r="K300" s="82" t="n">
        <x:v>527000</x:v>
      </x:c>
      <x:c r="L300" s="82" t="n">
        <x:v>0</x:v>
      </x:c>
      <x:c r="M300" s="82" t="n">
        <x:v>527000</x:v>
      </x:c>
      <x:c r="N300" s="80" t="n">
        <x:v>64</x:v>
      </x:c>
    </x:row>
    <x:row r="301">
      <x:c r="A301" s="80" t="n">
        <x:v>5</x:v>
      </x:c>
      <x:c r="B301" s="52" t="str"/>
      <x:c r="C301" s="83" t="str">
        <x:v>control veterinario</x:v>
      </x:c>
      <x:c r="D301" s="83" t="str">
        <x:v>Consulta veterinaria</x:v>
      </x:c>
      <x:c r="E301" s="83" t="str">
        <x:v>Consulta y control</x:v>
      </x:c>
      <x:c r="F301" s="83" t="str">
        <x:v>Servicio</x:v>
      </x:c>
      <x:c r="G301" s="83" t="str">
        <x:v>No</x:v>
      </x:c>
      <x:c r="H301" s="83" t="str"/>
      <x:c r="I301" s="81" t="n">
        <x:v>4</x:v>
      </x:c>
      <x:c r="J301" s="52" t="str"/>
      <x:c r="K301" s="82" t="n">
        <x:v>66000</x:v>
      </x:c>
      <x:c r="L301" s="82" t="n">
        <x:v>0</x:v>
      </x:c>
      <x:c r="M301" s="82" t="n">
        <x:v>66000</x:v>
      </x:c>
      <x:c r="N301" s="80" t="n">
        <x:v>65</x:v>
      </x:c>
    </x:row>
    <x:row r="302">
      <x:c r="A302" s="80" t="n">
        <x:v>5</x:v>
      </x:c>
      <x:c r="B302" s="52" t="str"/>
      <x:c r="C302" s="83" t="str">
        <x:v>CHEQUEO GENERAL COMPLETO MAS PLAQUETA</x:v>
      </x:c>
      <x:c r="D302" s="83" t="str">
        <x:v>Consulta veterinaria</x:v>
      </x:c>
      <x:c r="E302" s="83" t="str">
        <x:v>Diagnóstico y laboratorio</x:v>
      </x:c>
      <x:c r="F302" s="83" t="str">
        <x:v>Servicio</x:v>
      </x:c>
      <x:c r="G302" s="83" t="str">
        <x:v>No</x:v>
      </x:c>
      <x:c r="H302" s="83" t="str"/>
      <x:c r="I302" s="81" t="n">
        <x:v>3</x:v>
      </x:c>
      <x:c r="J302" s="52" t="str">
        <x:v>und</x:v>
      </x:c>
      <x:c r="K302" s="82" t="n">
        <x:v>84000</x:v>
      </x:c>
      <x:c r="L302" s="82" t="n">
        <x:v>0</x:v>
      </x:c>
      <x:c r="M302" s="82" t="n">
        <x:v>84000</x:v>
      </x:c>
      <x:c r="N302" s="80" t="n">
        <x:v>50</x:v>
      </x:c>
    </x:row>
    <x:row r="303">
      <x:c r="A303" s="80" t="n">
        <x:v>5</x:v>
      </x:c>
      <x:c r="B303" s="52" t="str"/>
      <x:c r="C303" s="83" t="str">
        <x:v>CITOLOGIA</x:v>
      </x:c>
      <x:c r="D303" s="83" t="str">
        <x:v>Consulta veterinaria</x:v>
      </x:c>
      <x:c r="E303" s="83" t="str">
        <x:v>Diagnóstico y laboratorio</x:v>
      </x:c>
      <x:c r="F303" s="83" t="str">
        <x:v>Servicio</x:v>
      </x:c>
      <x:c r="G303" s="83" t="str">
        <x:v>No</x:v>
      </x:c>
      <x:c r="H303" s="83" t="str"/>
      <x:c r="I303" s="81" t="n">
        <x:v>1</x:v>
      </x:c>
      <x:c r="J303" s="52" t="str">
        <x:v>und</x:v>
      </x:c>
      <x:c r="K303" s="82" t="n">
        <x:v>22000</x:v>
      </x:c>
      <x:c r="L303" s="82" t="n">
        <x:v>0</x:v>
      </x:c>
      <x:c r="M303" s="82" t="n">
        <x:v>22000</x:v>
      </x:c>
      <x:c r="N303" s="80" t="n">
        <x:v>52</x:v>
      </x:c>
    </x:row>
    <x:row r="304">
      <x:c r="A304" s="80" t="n">
        <x:v>5</x:v>
      </x:c>
      <x:c r="B304" s="52" t="str"/>
      <x:c r="C304" s="83" t="str">
        <x:v>EHRLICHIA + ANAPLASMA+BABESIA + HEPATOZOON</x:v>
      </x:c>
      <x:c r="D304" s="83" t="str">
        <x:v>Consulta veterinaria</x:v>
      </x:c>
      <x:c r="E304" s="83" t="str">
        <x:v>Diagnóstico y laboratorio</x:v>
      </x:c>
      <x:c r="F304" s="83" t="str">
        <x:v>Servicio</x:v>
      </x:c>
      <x:c r="G304" s="83" t="str">
        <x:v>No</x:v>
      </x:c>
      <x:c r="H304" s="83" t="str"/>
      <x:c r="I304" s="81" t="n">
        <x:v>1</x:v>
      </x:c>
      <x:c r="J304" s="52" t="str">
        <x:v>UND</x:v>
      </x:c>
      <x:c r="K304" s="82" t="n">
        <x:v>85000</x:v>
      </x:c>
      <x:c r="L304" s="82" t="n">
        <x:v>0</x:v>
      </x:c>
      <x:c r="M304" s="82" t="n">
        <x:v>85000</x:v>
      </x:c>
      <x:c r="N304" s="80" t="n">
        <x:v>91</x:v>
      </x:c>
    </x:row>
    <x:row r="305">
      <x:c r="A305" s="80" t="n">
        <x:v>5</x:v>
      </x:c>
      <x:c r="B305" s="52" t="str"/>
      <x:c r="C305" s="83" t="str">
        <x:v>HEMOGRAMA COMPLETO</x:v>
      </x:c>
      <x:c r="D305" s="83" t="str">
        <x:v>Consulta veterinaria</x:v>
      </x:c>
      <x:c r="E305" s="83" t="str">
        <x:v>Diagnóstico y laboratorio</x:v>
      </x:c>
      <x:c r="F305" s="83" t="str">
        <x:v>Servicio</x:v>
      </x:c>
      <x:c r="G305" s="83" t="str">
        <x:v>No</x:v>
      </x:c>
      <x:c r="H305" s="83" t="str"/>
      <x:c r="I305" s="81" t="n">
        <x:v>1</x:v>
      </x:c>
      <x:c r="J305" s="52" t="str"/>
      <x:c r="K305" s="82" t="n">
        <x:v>18000</x:v>
      </x:c>
      <x:c r="L305" s="82" t="n">
        <x:v>0</x:v>
      </x:c>
      <x:c r="M305" s="82" t="n">
        <x:v>18000</x:v>
      </x:c>
      <x:c r="N305" s="80" t="n">
        <x:v>146</x:v>
      </x:c>
    </x:row>
    <x:row r="306">
      <x:c r="A306" s="80" t="n">
        <x:v>5</x:v>
      </x:c>
      <x:c r="B306" s="52" t="str"/>
      <x:c r="C306" s="83" t="str">
        <x:v>ORINA COMPLETA</x:v>
      </x:c>
      <x:c r="D306" s="83" t="str">
        <x:v>Consulta veterinaria</x:v>
      </x:c>
      <x:c r="E306" s="83" t="str">
        <x:v>Diagnóstico y laboratorio</x:v>
      </x:c>
      <x:c r="F306" s="83" t="str">
        <x:v>Servicio</x:v>
      </x:c>
      <x:c r="G306" s="83" t="str">
        <x:v>No</x:v>
      </x:c>
      <x:c r="H306" s="83" t="str"/>
      <x:c r="I306" s="81" t="n">
        <x:v>2</x:v>
      </x:c>
      <x:c r="J306" s="52" t="str">
        <x:v>und</x:v>
      </x:c>
      <x:c r="K306" s="82" t="n">
        <x:v>22200</x:v>
      </x:c>
      <x:c r="L306" s="82" t="n">
        <x:v>0</x:v>
      </x:c>
      <x:c r="M306" s="82" t="n">
        <x:v>22200</x:v>
      </x:c>
      <x:c r="N306" s="80" t="n">
        <x:v>217</x:v>
      </x:c>
    </x:row>
    <x:row r="307">
      <x:c r="A307" s="80" t="n">
        <x:v>5</x:v>
      </x:c>
      <x:c r="B307" s="52" t="str"/>
      <x:c r="C307" s="83" t="str">
        <x:v>T4 LIBRE</x:v>
      </x:c>
      <x:c r="D307" s="83" t="str">
        <x:v>Consulta veterinaria</x:v>
      </x:c>
      <x:c r="E307" s="83" t="str">
        <x:v>Diagnóstico y laboratorio</x:v>
      </x:c>
      <x:c r="F307" s="83" t="str">
        <x:v>Servicio</x:v>
      </x:c>
      <x:c r="G307" s="83" t="str">
        <x:v>No</x:v>
      </x:c>
      <x:c r="H307" s="83" t="str"/>
      <x:c r="I307" s="81" t="n">
        <x:v>1</x:v>
      </x:c>
      <x:c r="J307" s="52" t="str">
        <x:v>UND</x:v>
      </x:c>
      <x:c r="K307" s="82" t="n">
        <x:v>37000</x:v>
      </x:c>
      <x:c r="L307" s="82" t="n">
        <x:v>0</x:v>
      </x:c>
      <x:c r="M307" s="82" t="n">
        <x:v>37000</x:v>
      </x:c>
      <x:c r="N307" s="80" t="n">
        <x:v>302</x:v>
      </x:c>
    </x:row>
    <x:row r="308">
      <x:c r="A308" s="80" t="n">
        <x:v>5</x:v>
      </x:c>
      <x:c r="B308" s="52" t="str"/>
      <x:c r="C308" s="83" t="str">
        <x:v>TSH</x:v>
      </x:c>
      <x:c r="D308" s="83" t="str">
        <x:v>Consulta veterinaria</x:v>
      </x:c>
      <x:c r="E308" s="83" t="str">
        <x:v>Diagnóstico y laboratorio</x:v>
      </x:c>
      <x:c r="F308" s="83" t="str">
        <x:v>Servicio</x:v>
      </x:c>
      <x:c r="G308" s="83" t="str">
        <x:v>No</x:v>
      </x:c>
      <x:c r="H308" s="83" t="str"/>
      <x:c r="I308" s="81" t="n">
        <x:v>1</x:v>
      </x:c>
      <x:c r="J308" s="52" t="str">
        <x:v>UND</x:v>
      </x:c>
      <x:c r="K308" s="82" t="n">
        <x:v>62000</x:v>
      </x:c>
      <x:c r="L308" s="82" t="n">
        <x:v>0</x:v>
      </x:c>
      <x:c r="M308" s="82" t="n">
        <x:v>62000</x:v>
      </x:c>
      <x:c r="N308" s="80" t="n">
        <x:v>311</x:v>
      </x:c>
    </x:row>
    <x:row r="309">
      <x:c r="A309" s="80" t="n">
        <x:v>5</x:v>
      </x:c>
      <x:c r="B309" s="52" t="str"/>
      <x:c r="C309" s="83" t="str">
        <x:v>Vacuna Antirrabica Perros y Gatos</x:v>
      </x:c>
      <x:c r="D309" s="83" t="str">
        <x:v>Consulta veterinaria</x:v>
      </x:c>
      <x:c r="E309" s="83" t="str">
        <x:v>Vacunación</x:v>
      </x:c>
      <x:c r="F309" s="83" t="str">
        <x:v>Servicio</x:v>
      </x:c>
      <x:c r="G309" s="83" t="str">
        <x:v>No</x:v>
      </x:c>
      <x:c r="H309" s="83" t="str"/>
      <x:c r="I309" s="81" t="n">
        <x:v>2</x:v>
      </x:c>
      <x:c r="J309" s="52" t="str">
        <x:v>und</x:v>
      </x:c>
      <x:c r="K309" s="82" t="n">
        <x:v>55000</x:v>
      </x:c>
      <x:c r="L309" s="82" t="n">
        <x:v>0</x:v>
      </x:c>
      <x:c r="M309" s="82" t="n">
        <x:v>55000</x:v>
      </x:c>
      <x:c r="N309" s="80" t="n">
        <x:v>318</x:v>
      </x:c>
    </x:row>
    <x:row r="310">
      <x:c r="A310" s="80" t="n">
        <x:v>5</x:v>
      </x:c>
      <x:c r="B310" s="52" t="str"/>
      <x:c r="C310" s="83" t="str">
        <x:v>Vacuna Quintuple</x:v>
      </x:c>
      <x:c r="D310" s="83" t="str">
        <x:v>Consulta veterinaria</x:v>
      </x:c>
      <x:c r="E310" s="83" t="str">
        <x:v>Vacunación</x:v>
      </x:c>
      <x:c r="F310" s="83" t="str">
        <x:v>Servicio</x:v>
      </x:c>
      <x:c r="G310" s="83" t="str">
        <x:v>No</x:v>
      </x:c>
      <x:c r="H310" s="83" t="str"/>
      <x:c r="I310" s="81" t="n">
        <x:v>5</x:v>
      </x:c>
      <x:c r="J310" s="52" t="str">
        <x:v>und</x:v>
      </x:c>
      <x:c r="K310" s="82" t="n">
        <x:v>153500</x:v>
      </x:c>
      <x:c r="L310" s="82" t="n">
        <x:v>0</x:v>
      </x:c>
      <x:c r="M310" s="82" t="n">
        <x:v>153500</x:v>
      </x:c>
      <x:c r="N310" s="80" t="n">
        <x:v>319</x:v>
      </x:c>
    </x:row>
    <x:row r="311">
      <x:c r="A311" s="80" t="n">
        <x:v>5</x:v>
      </x:c>
      <x:c r="B311" s="52" t="str"/>
      <x:c r="C311" s="83" t="str">
        <x:v>Vacuna Septuple Perros</x:v>
      </x:c>
      <x:c r="D311" s="83" t="str">
        <x:v>Consulta veterinaria</x:v>
      </x:c>
      <x:c r="E311" s="83" t="str">
        <x:v>Vacunación</x:v>
      </x:c>
      <x:c r="F311" s="83" t="str">
        <x:v>Servicio</x:v>
      </x:c>
      <x:c r="G311" s="83" t="str">
        <x:v>No</x:v>
      </x:c>
      <x:c r="H311" s="83" t="str"/>
      <x:c r="I311" s="81" t="n">
        <x:v>4</x:v>
      </x:c>
      <x:c r="J311" s="52" t="str">
        <x:v>und</x:v>
      </x:c>
      <x:c r="K311" s="82" t="n">
        <x:v>138200</x:v>
      </x:c>
      <x:c r="L311" s="82" t="n">
        <x:v>0</x:v>
      </x:c>
      <x:c r="M311" s="82" t="n">
        <x:v>138200</x:v>
      </x:c>
      <x:c r="N311" s="80" t="n">
        <x:v>320</x:v>
      </x:c>
    </x:row>
    <x:row r="312">
      <x:c r="A312" s="80" t="n">
        <x:v>5</x:v>
      </x:c>
      <x:c r="B312" s="52" t="str"/>
      <x:c r="C312" s="83" t="str">
        <x:v>Vacuna Tos de la Perrera</x:v>
      </x:c>
      <x:c r="D312" s="83" t="str">
        <x:v>Consulta veterinaria</x:v>
      </x:c>
      <x:c r="E312" s="83" t="str">
        <x:v>Vacunación</x:v>
      </x:c>
      <x:c r="F312" s="83" t="str">
        <x:v>Servicio</x:v>
      </x:c>
      <x:c r="G312" s="83" t="str">
        <x:v>No</x:v>
      </x:c>
      <x:c r="H312" s="83" t="str"/>
      <x:c r="I312" s="81" t="n">
        <x:v>1</x:v>
      </x:c>
      <x:c r="J312" s="52" t="str">
        <x:v>und</x:v>
      </x:c>
      <x:c r="K312" s="82" t="n">
        <x:v>35000</x:v>
      </x:c>
      <x:c r="L312" s="82" t="n">
        <x:v>0</x:v>
      </x:c>
      <x:c r="M312" s="82" t="n">
        <x:v>35000</x:v>
      </x:c>
      <x:c r="N312" s="80" t="n">
        <x:v>321</x:v>
      </x:c>
    </x:row>
    <x:row r="313">
      <x:c r="A313" s="80" t="n">
        <x:v>5</x:v>
      </x:c>
      <x:c r="B313" s="52" t="str"/>
      <x:c r="C313" s="83" t="str">
        <x:v>Vacuna Virbac Feligen</x:v>
      </x:c>
      <x:c r="D313" s="83" t="str">
        <x:v>Consulta veterinaria</x:v>
      </x:c>
      <x:c r="E313" s="83" t="str">
        <x:v>Vacunación</x:v>
      </x:c>
      <x:c r="F313" s="83" t="str">
        <x:v>Servicio</x:v>
      </x:c>
      <x:c r="G313" s="83" t="str">
        <x:v>No</x:v>
      </x:c>
      <x:c r="H313" s="83" t="str"/>
      <x:c r="I313" s="81" t="n">
        <x:v>3</x:v>
      </x:c>
      <x:c r="J313" s="52" t="str">
        <x:v>und</x:v>
      </x:c>
      <x:c r="K313" s="82" t="n">
        <x:v>102100</x:v>
      </x:c>
      <x:c r="L313" s="82" t="n">
        <x:v>0</x:v>
      </x:c>
      <x:c r="M313" s="82" t="n">
        <x:v>102100</x:v>
      </x:c>
      <x:c r="N313" s="80" t="n">
        <x:v>322</x:v>
      </x:c>
    </x:row>
    <x:row r="314">
      <x:c r="A314" s="80" t="n">
        <x:v>6</x:v>
      </x:c>
      <x:c r="B314" s="52" t="str"/>
      <x:c r="C314" s="83" t="str">
        <x:v>Baños Perros CHICO 5 Kg - 10 Kg</x:v>
      </x:c>
      <x:c r="D314" s="83" t="str">
        <x:v>Peluquería canina</x:v>
      </x:c>
      <x:c r="E314" s="83" t="str">
        <x:v>Baño</x:v>
      </x:c>
      <x:c r="F314" s="83" t="str">
        <x:v>Servicio</x:v>
      </x:c>
      <x:c r="G314" s="83" t="str">
        <x:v>No</x:v>
      </x:c>
      <x:c r="H314" s="83" t="str"/>
      <x:c r="I314" s="81" t="n">
        <x:v>3</x:v>
      </x:c>
      <x:c r="J314" s="52" t="str"/>
      <x:c r="K314" s="82" t="n">
        <x:v>75000</x:v>
      </x:c>
      <x:c r="L314" s="82" t="n">
        <x:v>0</x:v>
      </x:c>
      <x:c r="M314" s="82" t="n">
        <x:v>75000</x:v>
      </x:c>
      <x:c r="N314" s="80" t="n">
        <x:v>29</x:v>
      </x:c>
    </x:row>
    <x:row r="315">
      <x:c r="A315" s="80" t="n">
        <x:v>6</x:v>
      </x:c>
      <x:c r="B315" s="52" t="str"/>
      <x:c r="C315" s="83" t="str">
        <x:v>Baños Perros GRANDE 30 Kg - 40 Kg</x:v>
      </x:c>
      <x:c r="D315" s="83" t="str">
        <x:v>Peluquería canina</x:v>
      </x:c>
      <x:c r="E315" s="83" t="str">
        <x:v>Baño</x:v>
      </x:c>
      <x:c r="F315" s="83" t="str">
        <x:v>Servicio</x:v>
      </x:c>
      <x:c r="G315" s="83" t="str">
        <x:v>No</x:v>
      </x:c>
      <x:c r="H315" s="83" t="str"/>
      <x:c r="I315" s="81" t="n">
        <x:v>5</x:v>
      </x:c>
      <x:c r="J315" s="52" t="str"/>
      <x:c r="K315" s="82" t="n">
        <x:v>158400</x:v>
      </x:c>
      <x:c r="L315" s="82" t="n">
        <x:v>0</x:v>
      </x:c>
      <x:c r="M315" s="82" t="n">
        <x:v>158400</x:v>
      </x:c>
      <x:c r="N315" s="80" t="n">
        <x:v>30</x:v>
      </x:c>
    </x:row>
    <x:row r="316">
      <x:c r="A316" s="80" t="n">
        <x:v>6</x:v>
      </x:c>
      <x:c r="B316" s="52" t="str"/>
      <x:c r="C316" s="83" t="str">
        <x:v>Baños Perros MEDIANO 10 Kg - 20 Kg</x:v>
      </x:c>
      <x:c r="D316" s="83" t="str">
        <x:v>Peluquería canina</x:v>
      </x:c>
      <x:c r="E316" s="83" t="str">
        <x:v>Baño</x:v>
      </x:c>
      <x:c r="F316" s="83" t="str">
        <x:v>Servicio</x:v>
      </x:c>
      <x:c r="G316" s="83" t="str">
        <x:v>No</x:v>
      </x:c>
      <x:c r="H316" s="83" t="str"/>
      <x:c r="I316" s="81" t="n">
        <x:v>8</x:v>
      </x:c>
      <x:c r="J316" s="52" t="str"/>
      <x:c r="K316" s="82" t="n">
        <x:v>203840</x:v>
      </x:c>
      <x:c r="L316" s="82" t="n">
        <x:v>0</x:v>
      </x:c>
      <x:c r="M316" s="82" t="n">
        <x:v>203840</x:v>
      </x:c>
      <x:c r="N316" s="80" t="n">
        <x:v>31</x:v>
      </x:c>
    </x:row>
    <x:row r="317">
      <x:c r="A317" s="80" t="n">
        <x:v>6</x:v>
      </x:c>
      <x:c r="B317" s="52" t="str"/>
      <x:c r="C317" s="83" t="str">
        <x:v>Baños Perros MEDIANO Plus 20 Kg - 30 Kg</x:v>
      </x:c>
      <x:c r="D317" s="83" t="str">
        <x:v>Peluquería canina</x:v>
      </x:c>
      <x:c r="E317" s="83" t="str">
        <x:v>Baño</x:v>
      </x:c>
      <x:c r="F317" s="83" t="str">
        <x:v>Servicio</x:v>
      </x:c>
      <x:c r="G317" s="83" t="str">
        <x:v>No</x:v>
      </x:c>
      <x:c r="H317" s="83" t="str"/>
      <x:c r="I317" s="81" t="n">
        <x:v>6</x:v>
      </x:c>
      <x:c r="J317" s="52" t="str"/>
      <x:c r="K317" s="82" t="n">
        <x:v>171970</x:v>
      </x:c>
      <x:c r="L317" s="82" t="n">
        <x:v>0</x:v>
      </x:c>
      <x:c r="M317" s="82" t="n">
        <x:v>171970</x:v>
      </x:c>
      <x:c r="N317" s="80" t="n">
        <x:v>32</x:v>
      </x:c>
    </x:row>
    <x:row r="318">
      <x:c r="A318" s="80" t="n">
        <x:v>6</x:v>
      </x:c>
      <x:c r="B318" s="52" t="str"/>
      <x:c r="C318" s="83" t="str">
        <x:v>Baños Perros PL CHICO 5 Kg - 10 Kg</x:v>
      </x:c>
      <x:c r="D318" s="83" t="str">
        <x:v>Peluquería canina</x:v>
      </x:c>
      <x:c r="E318" s="83" t="str">
        <x:v>Baño</x:v>
      </x:c>
      <x:c r="F318" s="83" t="str">
        <x:v>Servicio</x:v>
      </x:c>
      <x:c r="G318" s="83" t="str">
        <x:v>No</x:v>
      </x:c>
      <x:c r="H318" s="83" t="str"/>
      <x:c r="I318" s="81" t="n">
        <x:v>13</x:v>
      </x:c>
      <x:c r="J318" s="52" t="str"/>
      <x:c r="K318" s="82" t="n">
        <x:v>334000</x:v>
      </x:c>
      <x:c r="L318" s="82" t="n">
        <x:v>0</x:v>
      </x:c>
      <x:c r="M318" s="82" t="n">
        <x:v>334000</x:v>
      </x:c>
      <x:c r="N318" s="80" t="n">
        <x:v>33</x:v>
      </x:c>
    </x:row>
    <x:row r="319">
      <x:c r="A319" s="80" t="n">
        <x:v>6</x:v>
      </x:c>
      <x:c r="B319" s="52" t="str"/>
      <x:c r="C319" s="83" t="str">
        <x:v>Baños Perros PL Gigantes + De 40 Kg</x:v>
      </x:c>
      <x:c r="D319" s="83" t="str">
        <x:v>Peluquería canina</x:v>
      </x:c>
      <x:c r="E319" s="83" t="str">
        <x:v>Baño</x:v>
      </x:c>
      <x:c r="F319" s="83" t="str">
        <x:v>Servicio</x:v>
      </x:c>
      <x:c r="G319" s="83" t="str">
        <x:v>No</x:v>
      </x:c>
      <x:c r="H319" s="83" t="str"/>
      <x:c r="I319" s="81" t="n">
        <x:v>1</x:v>
      </x:c>
      <x:c r="J319" s="52" t="str"/>
      <x:c r="K319" s="82" t="n">
        <x:v>50000</x:v>
      </x:c>
      <x:c r="L319" s="82" t="n">
        <x:v>0</x:v>
      </x:c>
      <x:c r="M319" s="82" t="n">
        <x:v>50000</x:v>
      </x:c>
      <x:c r="N319" s="80" t="n">
        <x:v>34</x:v>
      </x:c>
    </x:row>
    <x:row r="320">
      <x:c r="A320" s="80" t="n">
        <x:v>6</x:v>
      </x:c>
      <x:c r="B320" s="52" t="str"/>
      <x:c r="C320" s="83" t="str">
        <x:v>Baños Perros PL MEDIANO 10 Kg - 20 Kg</x:v>
      </x:c>
      <x:c r="D320" s="83" t="str">
        <x:v>Peluquería canina</x:v>
      </x:c>
      <x:c r="E320" s="83" t="str">
        <x:v>Baño</x:v>
      </x:c>
      <x:c r="F320" s="83" t="str">
        <x:v>Servicio</x:v>
      </x:c>
      <x:c r="G320" s="83" t="str">
        <x:v>No</x:v>
      </x:c>
      <x:c r="H320" s="83" t="str"/>
      <x:c r="I320" s="81" t="n">
        <x:v>14</x:v>
      </x:c>
      <x:c r="J320" s="52" t="str"/>
      <x:c r="K320" s="82" t="n">
        <x:v>446950</x:v>
      </x:c>
      <x:c r="L320" s="82" t="n">
        <x:v>0</x:v>
      </x:c>
      <x:c r="M320" s="82" t="n">
        <x:v>446950</x:v>
      </x:c>
      <x:c r="N320" s="80" t="n">
        <x:v>35</x:v>
      </x:c>
    </x:row>
    <x:row r="321">
      <x:c r="A321" s="80" t="n">
        <x:v>6</x:v>
      </x:c>
      <x:c r="B321" s="52" t="str"/>
      <x:c r="C321" s="83" t="str">
        <x:v>Baños Perros PL MEDIANO Plus 20 Kg - 30 Kg</x:v>
      </x:c>
      <x:c r="D321" s="83" t="str">
        <x:v>Peluquería canina</x:v>
      </x:c>
      <x:c r="E321" s="83" t="str">
        <x:v>Baño</x:v>
      </x:c>
      <x:c r="F321" s="83" t="str">
        <x:v>Servicio</x:v>
      </x:c>
      <x:c r="G321" s="83" t="str">
        <x:v>No</x:v>
      </x:c>
      <x:c r="H321" s="83" t="str"/>
      <x:c r="I321" s="81" t="n">
        <x:v>2</x:v>
      </x:c>
      <x:c r="J321" s="52" t="str"/>
      <x:c r="K321" s="82" t="n">
        <x:v>76000</x:v>
      </x:c>
      <x:c r="L321" s="82" t="n">
        <x:v>0</x:v>
      </x:c>
      <x:c r="M321" s="82" t="n">
        <x:v>76000</x:v>
      </x:c>
      <x:c r="N321" s="80" t="n">
        <x:v>36</x:v>
      </x:c>
    </x:row>
    <x:row r="322">
      <x:c r="A322" s="80" t="n">
        <x:v>6</x:v>
      </x:c>
      <x:c r="B322" s="52" t="str"/>
      <x:c r="C322" s="83" t="str">
        <x:v>Corte y Baño Perros CHICO 5 Kg - 10 Kg</x:v>
      </x:c>
      <x:c r="D322" s="83" t="str">
        <x:v>Peluquería canina</x:v>
      </x:c>
      <x:c r="E322" s="83" t="str">
        <x:v>Corte y baño</x:v>
      </x:c>
      <x:c r="F322" s="83" t="str">
        <x:v>Servicio</x:v>
      </x:c>
      <x:c r="G322" s="83" t="str">
        <x:v>No</x:v>
      </x:c>
      <x:c r="H322" s="83" t="str"/>
      <x:c r="I322" s="81" t="n">
        <x:v>20</x:v>
      </x:c>
      <x:c r="J322" s="52" t="str"/>
      <x:c r="K322" s="82" t="n">
        <x:v>746320</x:v>
      </x:c>
      <x:c r="L322" s="82" t="n">
        <x:v>0</x:v>
      </x:c>
      <x:c r="M322" s="82" t="n">
        <x:v>746320</x:v>
      </x:c>
      <x:c r="N322" s="80" t="n">
        <x:v>68</x:v>
      </x:c>
    </x:row>
    <x:row r="323">
      <x:c r="A323" s="80" t="n">
        <x:v>6</x:v>
      </x:c>
      <x:c r="B323" s="52" t="str"/>
      <x:c r="C323" s="83" t="str">
        <x:v>Corte y Baño Perros GRANDES 30 Kg - 40 Kg</x:v>
      </x:c>
      <x:c r="D323" s="83" t="str">
        <x:v>Peluquería canina</x:v>
      </x:c>
      <x:c r="E323" s="83" t="str">
        <x:v>Corte y baño</x:v>
      </x:c>
      <x:c r="F323" s="83" t="str">
        <x:v>Servicio</x:v>
      </x:c>
      <x:c r="G323" s="83" t="str">
        <x:v>No</x:v>
      </x:c>
      <x:c r="H323" s="83" t="str"/>
      <x:c r="I323" s="81" t="n">
        <x:v>1</x:v>
      </x:c>
      <x:c r="J323" s="52" t="str"/>
      <x:c r="K323" s="82" t="n">
        <x:v>48000</x:v>
      </x:c>
      <x:c r="L323" s="82" t="n">
        <x:v>0</x:v>
      </x:c>
      <x:c r="M323" s="82" t="n">
        <x:v>48000</x:v>
      </x:c>
      <x:c r="N323" s="80" t="n">
        <x:v>69</x:v>
      </x:c>
    </x:row>
    <x:row r="324">
      <x:c r="A324" s="80" t="n">
        <x:v>6</x:v>
      </x:c>
      <x:c r="B324" s="52" t="str"/>
      <x:c r="C324" s="83" t="str">
        <x:v>Corte y Baño Perros MEDIANO 10 Kg - 20 Kg</x:v>
      </x:c>
      <x:c r="D324" s="83" t="str">
        <x:v>Peluquería canina</x:v>
      </x:c>
      <x:c r="E324" s="83" t="str">
        <x:v>Corte y baño</x:v>
      </x:c>
      <x:c r="F324" s="83" t="str">
        <x:v>Servicio</x:v>
      </x:c>
      <x:c r="G324" s="83" t="str">
        <x:v>No</x:v>
      </x:c>
      <x:c r="H324" s="83" t="str"/>
      <x:c r="I324" s="81" t="n">
        <x:v>3</x:v>
      </x:c>
      <x:c r="J324" s="52" t="str"/>
      <x:c r="K324" s="82" t="n">
        <x:v>126000</x:v>
      </x:c>
      <x:c r="L324" s="82" t="n">
        <x:v>0</x:v>
      </x:c>
      <x:c r="M324" s="82" t="n">
        <x:v>126000</x:v>
      </x:c>
      <x:c r="N324" s="80" t="n">
        <x:v>70</x:v>
      </x:c>
    </x:row>
    <x:row r="325">
      <x:c r="A325" s="80" t="n">
        <x:v>6</x:v>
      </x:c>
      <x:c r="B325" s="52" t="str"/>
      <x:c r="C325" s="83" t="str">
        <x:v>Corte y Baño Perros MEDIANO Plus 20 Kg - 30 Kg</x:v>
      </x:c>
      <x:c r="D325" s="83" t="str">
        <x:v>Peluquería canina</x:v>
      </x:c>
      <x:c r="E325" s="83" t="str">
        <x:v>Corte y baño</x:v>
      </x:c>
      <x:c r="F325" s="83" t="str">
        <x:v>Servicio</x:v>
      </x:c>
      <x:c r="G325" s="83" t="str">
        <x:v>No</x:v>
      </x:c>
      <x:c r="H325" s="83" t="str"/>
      <x:c r="I325" s="81" t="n">
        <x:v>2</x:v>
      </x:c>
      <x:c r="J325" s="52" t="str"/>
      <x:c r="K325" s="82" t="n">
        <x:v>85050</x:v>
      </x:c>
      <x:c r="L325" s="82" t="n">
        <x:v>0</x:v>
      </x:c>
      <x:c r="M325" s="82" t="n">
        <x:v>85050</x:v>
      </x:c>
      <x:c r="N325" s="80" t="n">
        <x:v>71</x:v>
      </x:c>
    </x:row>
    <x:row r="326">
      <x:c r="A326" s="80" t="n">
        <x:v>6</x:v>
      </x:c>
      <x:c r="B326" s="52" t="str"/>
      <x:c r="C326" s="83" t="str">
        <x:v>Corte y Baño Perros MINI 0 Kg - 5 Kg</x:v>
      </x:c>
      <x:c r="D326" s="83" t="str">
        <x:v>Peluquería canina</x:v>
      </x:c>
      <x:c r="E326" s="83" t="str">
        <x:v>Corte y baño</x:v>
      </x:c>
      <x:c r="F326" s="83" t="str">
        <x:v>Servicio</x:v>
      </x:c>
      <x:c r="G326" s="83" t="str">
        <x:v>No</x:v>
      </x:c>
      <x:c r="H326" s="83" t="str"/>
      <x:c r="I326" s="81" t="n">
        <x:v>1</x:v>
      </x:c>
      <x:c r="J326" s="52" t="str"/>
      <x:c r="K326" s="82" t="n">
        <x:v>33000</x:v>
      </x:c>
      <x:c r="L326" s="82" t="n">
        <x:v>0</x:v>
      </x:c>
      <x:c r="M326" s="82" t="n">
        <x:v>33000</x:v>
      </x:c>
      <x:c r="N326" s="80" t="n">
        <x:v>72</x:v>
      </x:c>
    </x:row>
    <x:row r="327">
      <x:c r="A327" s="80" t="n">
        <x:v>6</x:v>
      </x:c>
      <x:c r="B327" s="52" t="str"/>
      <x:c r="C327" s="83" t="str">
        <x:v>Corte de Uñas</x:v>
      </x:c>
      <x:c r="D327" s="83" t="str">
        <x:v>Peluquería canina</x:v>
      </x:c>
      <x:c r="E327" s="83" t="str">
        <x:v>Servicios complementarios</x:v>
      </x:c>
      <x:c r="F327" s="83" t="str">
        <x:v>Servicio</x:v>
      </x:c>
      <x:c r="G327" s="83" t="str">
        <x:v>No</x:v>
      </x:c>
      <x:c r="H327" s="83" t="str"/>
      <x:c r="I327" s="81" t="n">
        <x:v>1</x:v>
      </x:c>
      <x:c r="J327" s="52" t="str"/>
      <x:c r="K327" s="82" t="n">
        <x:v>8000</x:v>
      </x:c>
      <x:c r="L327" s="82" t="n">
        <x:v>0</x:v>
      </x:c>
      <x:c r="M327" s="82" t="n">
        <x:v>8000</x:v>
      </x:c>
      <x:c r="N327" s="80" t="n">
        <x:v>67</x:v>
      </x:c>
    </x:row>
    <x:row r="328">
      <x:c r="A328" s="80" t="n">
        <x:v>6</x:v>
      </x:c>
      <x:c r="B328" s="52" t="str"/>
      <x:c r="C328" s="83" t="str">
        <x:v>HIDRATACION DE PATITAS</x:v>
      </x:c>
      <x:c r="D328" s="83" t="str">
        <x:v>Peluquería canina</x:v>
      </x:c>
      <x:c r="E328" s="83" t="str">
        <x:v>Servicios complementarios</x:v>
      </x:c>
      <x:c r="F328" s="83" t="str">
        <x:v>Servicio</x:v>
      </x:c>
      <x:c r="G328" s="83" t="str">
        <x:v>No</x:v>
      </x:c>
      <x:c r="H328" s="83" t="str"/>
      <x:c r="I328" s="81" t="n">
        <x:v>2</x:v>
      </x:c>
      <x:c r="J328" s="52" t="str"/>
      <x:c r="K328" s="82" t="n">
        <x:v>5000</x:v>
      </x:c>
      <x:c r="L328" s="82" t="n">
        <x:v>0</x:v>
      </x:c>
      <x:c r="M328" s="82" t="n">
        <x:v>5000</x:v>
      </x:c>
      <x:c r="N328" s="80" t="n">
        <x:v>148</x:v>
      </x:c>
    </x:row>
    <x:row r="329">
      <x:c r="A329" s="80" t="n">
        <x:v>6</x:v>
      </x:c>
      <x:c r="B329" s="52" t="str"/>
      <x:c r="C329" s="83" t="str">
        <x:v>Aplicación Perros Chicos</x:v>
      </x:c>
      <x:c r="D329" s="83" t="str">
        <x:v>Peluquería canina</x:v>
      </x:c>
      <x:c r="E329" s="83" t="str">
        <x:v>Tratamientos complementarios</x:v>
      </x:c>
      <x:c r="F329" s="83" t="str">
        <x:v>Servicio</x:v>
      </x:c>
      <x:c r="G329" s="83" t="str">
        <x:v>Sí</x:v>
      </x:c>
      <x:c r="H329" s="83" t="str">
        <x:v>El concepto no indica qué producto o tratamiento se aplica; validar con el cliente.</x:v>
      </x:c>
      <x:c r="I329" s="81" t="n">
        <x:v>9</x:v>
      </x:c>
      <x:c r="J329" s="52" t="str">
        <x:v>und</x:v>
      </x:c>
      <x:c r="K329" s="82" t="n">
        <x:v>79000</x:v>
      </x:c>
      <x:c r="L329" s="82" t="n">
        <x:v>0</x:v>
      </x:c>
      <x:c r="M329" s="82" t="n">
        <x:v>79000</x:v>
      </x:c>
      <x:c r="N329" s="80" t="n">
        <x:v>14</x:v>
      </x:c>
    </x:row>
    <x:row r="330">
      <x:c r="A330" s="80" t="n">
        <x:v>6</x:v>
      </x:c>
      <x:c r="B330" s="52" t="str"/>
      <x:c r="C330" s="83" t="str">
        <x:v>Aplicación Perros Grandes</x:v>
      </x:c>
      <x:c r="D330" s="83" t="str">
        <x:v>Peluquería canina</x:v>
      </x:c>
      <x:c r="E330" s="83" t="str">
        <x:v>Tratamientos complementarios</x:v>
      </x:c>
      <x:c r="F330" s="83" t="str">
        <x:v>Servicio</x:v>
      </x:c>
      <x:c r="G330" s="83" t="str">
        <x:v>Sí</x:v>
      </x:c>
      <x:c r="H330" s="83" t="str">
        <x:v>El concepto no indica qué producto o tratamiento se aplica; validar con el cliente.</x:v>
      </x:c>
      <x:c r="I330" s="81" t="n">
        <x:v>6</x:v>
      </x:c>
      <x:c r="J330" s="52" t="str">
        <x:v>und</x:v>
      </x:c>
      <x:c r="K330" s="82" t="n">
        <x:v>61425</x:v>
      </x:c>
      <x:c r="L330" s="82" t="n">
        <x:v>0</x:v>
      </x:c>
      <x:c r="M330" s="82" t="n">
        <x:v>61425</x:v>
      </x:c>
      <x:c r="N330" s="80" t="n">
        <x:v>15</x:v>
      </x:c>
    </x:row>
    <x:row r="331">
      <x:c r="A331" s="80" t="n">
        <x:v>6</x:v>
      </x:c>
      <x:c r="B331" s="52" t="str"/>
      <x:c r="C331" s="83" t="str">
        <x:v>Aplicación Perros Medianos</x:v>
      </x:c>
      <x:c r="D331" s="83" t="str">
        <x:v>Peluquería canina</x:v>
      </x:c>
      <x:c r="E331" s="83" t="str">
        <x:v>Tratamientos complementarios</x:v>
      </x:c>
      <x:c r="F331" s="83" t="str">
        <x:v>Servicio</x:v>
      </x:c>
      <x:c r="G331" s="83" t="str">
        <x:v>Sí</x:v>
      </x:c>
      <x:c r="H331" s="83" t="str">
        <x:v>El concepto no indica qué producto o tratamiento se aplica; validar con el cliente.</x:v>
      </x:c>
      <x:c r="I331" s="81" t="n">
        <x:v>1</x:v>
      </x:c>
      <x:c r="J331" s="52" t="str">
        <x:v>und</x:v>
      </x:c>
      <x:c r="K331" s="82" t="n">
        <x:v>12000</x:v>
      </x:c>
      <x:c r="L331" s="82" t="n">
        <x:v>0</x:v>
      </x:c>
      <x:c r="M331" s="82" t="n">
        <x:v>12000</x:v>
      </x:c>
      <x:c r="N331" s="80" t="n">
        <x:v>16</x:v>
      </x:c>
    </x:row>
  </x:sheetData>
  <x:conditionalFormatting sqref="G2:G331">
    <x:cfRule type="containsText" dxfId="0" priority="1" operator="containsText" text="Sí"/>
  </x:conditionalFormatting>
  <x:dataValidations count="1">
    <x:dataValidation type="list" sqref="D2:D331">
      <x:formula1>'Criterios y revisión'!$A$5:$A$11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05e6a591884f9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32" hidden="0" customWidth="1"/>
    <x:col min="3" max="3" width="30" hidden="0" customWidth="1"/>
    <x:col min="4" max="4" width="62" hidden="0" customWidth="1"/>
    <x:col min="5" max="5" width="12" hidden="0" customWidth="1"/>
  </x:cols>
  <x:sheetData>
    <x:row r="1">
      <x:c r="A1" s="92" t="str">
        <x:v>Criterios de clasificación y conceptos para validar</x:v>
      </x:c>
      <x:c r="B1" s="93"/>
      <x:c r="C1" s="93"/>
      <x:c r="D1" s="93"/>
      <x:c r="E1" s="93"/>
    </x:row>
    <x:row r="2">
      <x:c r="A2" s="94" t="str">
        <x:v>La clasificación es una propuesta inicial basada únicamente en la descripción exportada por el POS.</x:v>
      </x:c>
      <x:c r="B2" s="95"/>
      <x:c r="C2" s="95"/>
      <x:c r="D2" s="95"/>
      <x:c r="E2" s="95"/>
    </x:row>
    <x:row r="3">
      <x:c r="A3" s="96"/>
      <x:c r="B3" s="96"/>
      <x:c r="C3" s="96"/>
      <x:c r="D3" s="96"/>
      <x:c r="E3" s="96"/>
    </x:row>
    <x:row r="4">
      <x:c r="A4" s="97" t="str">
        <x:v>Categoría principal</x:v>
      </x:c>
      <x:c r="B4" s="98" t="str">
        <x:v>Orden</x:v>
      </x:c>
      <x:c r="C4" s="99" t="str">
        <x:v>Definición</x:v>
      </x:c>
      <x:c r="D4" s="96"/>
      <x:c r="E4" s="96"/>
    </x:row>
    <x:row r="5">
      <x:c r="A5" s="100" t="str">
        <x:v>Alimento balanceado y nutrición</x:v>
      </x:c>
      <x:c r="B5" s="101" t="n">
        <x:v>1</x:v>
      </x:c>
      <x:c r="C5" s="102" t="str">
        <x:v>Alimentos secos, húmedos, dietas veterinarias, snacks y alimentación natural.</x:v>
      </x:c>
      <x:c r="D5" s="96"/>
      <x:c r="E5" s="96"/>
    </x:row>
    <x:row r="6">
      <x:c r="A6" s="100" t="str">
        <x:v>Medicina veterinaria</x:v>
      </x:c>
      <x:c r="B6" s="101" t="n">
        <x:v>2</x:v>
      </x:c>
      <x:c r="C6" s="102" t="str">
        <x:v>Medicamentos, antiparasitarios, suplementos e insumos de recuperación.</x:v>
      </x:c>
      <x:c r="D6" s="96"/>
      <x:c r="E6" s="96"/>
    </x:row>
    <x:row r="7">
      <x:c r="A7" s="100" t="str">
        <x:v>Accesorios</x:v>
      </x:c>
      <x:c r="B7" s="101" t="n">
        <x:v>3</x:v>
      </x:c>
      <x:c r="C7" s="102" t="str">
        <x:v>Paseo, descanso, indumentaria, juguetes, comederos y accesorios sanitarios.</x:v>
      </x:c>
      <x:c r="D7" s="96"/>
      <x:c r="E7" s="96"/>
    </x:row>
    <x:row r="8">
      <x:c r="A8" s="100" t="str">
        <x:v>Higiene y cuidado</x:v>
      </x:c>
      <x:c r="B8" s="101" t="n">
        <x:v>4</x:v>
      </x:c>
      <x:c r="C8" s="102" t="str">
        <x:v>Arenas, productos de baño, limpieza, cuidado dental y absorbentes.</x:v>
      </x:c>
      <x:c r="D8" s="96"/>
      <x:c r="E8" s="96"/>
    </x:row>
    <x:row r="9">
      <x:c r="A9" s="100" t="str">
        <x:v>Consulta veterinaria</x:v>
      </x:c>
      <x:c r="B9" s="101" t="n">
        <x:v>5</x:v>
      </x:c>
      <x:c r="C9" s="102" t="str">
        <x:v>Consultas, controles, vacunación, diagnósticos y análisis clínicos.</x:v>
      </x:c>
      <x:c r="D9" s="96"/>
      <x:c r="E9" s="96"/>
    </x:row>
    <x:row r="10">
      <x:c r="A10" s="100" t="str">
        <x:v>Peluquería canina</x:v>
      </x:c>
      <x:c r="B10" s="101" t="n">
        <x:v>6</x:v>
      </x:c>
      <x:c r="C10" s="102" t="str">
        <x:v>Baños, cortes, uñas y tratamientos complementarios de peluquería.</x:v>
      </x:c>
      <x:c r="D10" s="96"/>
      <x:c r="E10" s="96"/>
    </x:row>
    <x:row r="11">
      <x:c r="A11" s="103" t="str">
        <x:v>Otros / revisar</x:v>
      </x:c>
      <x:c r="B11" s="104" t="n">
        <x:v>7</x:v>
      </x:c>
      <x:c r="C11" s="105" t="str">
        <x:v>Conceptos sin información suficiente para una clasificación confiable.</x:v>
      </x:c>
      <x:c r="D11" s="96"/>
      <x:c r="E11" s="96"/>
    </x:row>
    <x:row r="12">
      <x:c r="A12" s="96"/>
      <x:c r="B12" s="96"/>
      <x:c r="C12" s="96"/>
      <x:c r="D12" s="96"/>
      <x:c r="E12" s="96"/>
    </x:row>
    <x:row r="13">
      <x:c r="A13" s="96"/>
      <x:c r="B13" s="96"/>
      <x:c r="C13" s="96"/>
      <x:c r="D13" s="96"/>
      <x:c r="E13" s="96"/>
    </x:row>
    <x:row r="14">
      <x:c r="A14" s="106" t="str">
        <x:v>Conceptos marcados para revisión manual (6)</x:v>
      </x:c>
      <x:c r="B14" s="106"/>
      <x:c r="C14" s="106"/>
      <x:c r="D14" s="106"/>
      <x:c r="E14" s="106"/>
    </x:row>
    <x:row r="15">
      <x:c r="A15" s="107" t="str">
        <x:v>Producto</x:v>
      </x:c>
      <x:c r="B15" s="107" t="str">
        <x:v>Categoría propuesta</x:v>
      </x:c>
      <x:c r="C15" s="107" t="str">
        <x:v>Subcategoría</x:v>
      </x:c>
      <x:c r="D15" s="107" t="str">
        <x:v>Observación</x:v>
      </x:c>
      <x:c r="E15" s="107" t="str">
        <x:v>Fila origen</x:v>
      </x:c>
    </x:row>
    <x:row r="16">
      <x:c r="A16" s="96" t="str">
        <x:v>Tubos</x:v>
      </x:c>
      <x:c r="B16" s="96" t="str">
        <x:v>Medicina veterinaria</x:v>
      </x:c>
      <x:c r="C16" s="96" t="str">
        <x:v>Insumos clínicos</x:v>
      </x:c>
      <x:c r="D16" s="96" t="str">
        <x:v>Descripción insuficiente: confirmar tipo de tubo y uso.</x:v>
      </x:c>
      <x:c r="E16" s="96" t="n">
        <x:v>312</x:v>
      </x:c>
    </x:row>
    <x:row r="17">
      <x:c r="A17" s="96" t="str">
        <x:v>MOICES X 3 SAN ROQUE</x:v>
      </x:c>
      <x:c r="B17" s="96" t="str">
        <x:v>Accesorios</x:v>
      </x:c>
      <x:c r="C17" s="96" t="str">
        <x:v>Descanso</x:v>
      </x:c>
      <x:c r="D17" s="96" t="str">
        <x:v>Se interpretó 'MOICES' como 'moisés/cama'; validar el nombre original.</x:v>
      </x:c>
      <x:c r="E17" s="96" t="n">
        <x:v>192</x:v>
      </x:c>
    </x:row>
    <x:row r="18">
      <x:c r="A18" s="96" t="str">
        <x:v>BIO CLIN 250 ML</x:v>
      </x:c>
      <x:c r="B18" s="96" t="str">
        <x:v>Higiene y cuidado</x:v>
      </x:c>
      <x:c r="C18" s="96" t="str">
        <x:v>Baño y cuidado de piel/pelo</x:v>
      </x:c>
      <x:c r="D18" s="96" t="str">
        <x:v>El nombre comercial no describe el uso; se infirió cuidado e higiene por la presentación.</x:v>
      </x:c>
      <x:c r="E18" s="96" t="n">
        <x:v>38</x:v>
      </x:c>
    </x:row>
    <x:row r="19">
      <x:c r="A19" s="96" t="str">
        <x:v>Aplicación Perros Chicos</x:v>
      </x:c>
      <x:c r="B19" s="96" t="str">
        <x:v>Peluquería canina</x:v>
      </x:c>
      <x:c r="C19" s="96" t="str">
        <x:v>Tratamientos complementarios</x:v>
      </x:c>
      <x:c r="D19" s="96" t="str">
        <x:v>El concepto no indica qué producto o tratamiento se aplica; validar con el cliente.</x:v>
      </x:c>
      <x:c r="E19" s="96" t="n">
        <x:v>14</x:v>
      </x:c>
    </x:row>
    <x:row r="20">
      <x:c r="A20" s="96" t="str">
        <x:v>Aplicación Perros Grandes</x:v>
      </x:c>
      <x:c r="B20" s="96" t="str">
        <x:v>Peluquería canina</x:v>
      </x:c>
      <x:c r="C20" s="96" t="str">
        <x:v>Tratamientos complementarios</x:v>
      </x:c>
      <x:c r="D20" s="96" t="str">
        <x:v>El concepto no indica qué producto o tratamiento se aplica; validar con el cliente.</x:v>
      </x:c>
      <x:c r="E20" s="96" t="n">
        <x:v>15</x:v>
      </x:c>
    </x:row>
    <x:row r="21">
      <x:c r="A21" s="96" t="str">
        <x:v>Aplicación Perros Medianos</x:v>
      </x:c>
      <x:c r="B21" s="96" t="str">
        <x:v>Peluquería canina</x:v>
      </x:c>
      <x:c r="C21" s="96" t="str">
        <x:v>Tratamientos complementarios</x:v>
      </x:c>
      <x:c r="D21" s="96" t="str">
        <x:v>El concepto no indica qué producto o tratamiento se aplica; validar con el cliente.</x:v>
      </x:c>
      <x:c r="E21" s="96" t="n">
        <x:v>16</x:v>
      </x:c>
    </x:row>
  </x:sheetData>
  <x:mergeCells>
    <x:mergeCell ref="A1:E1"/>
    <x:mergeCell ref="A2:E2"/>
    <x:mergeCell ref="A14:E14"/>
  </x:mergeCells>
  <x:pageMargins left="0.7" right="0.7" top="0.75" bottom="0.75" header="0.3" footer="0.3"/>
</x:worksheet>
</file>